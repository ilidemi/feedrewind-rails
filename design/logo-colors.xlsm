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lia\Projects\rss-catchup-rails\design\"/>
    </mc:Choice>
  </mc:AlternateContent>
  <xr:revisionPtr revIDLastSave="0" documentId="13_ncr:1_{BFF0A9DC-C4C2-4BAF-AC46-8D8CA22C8B12}" xr6:coauthVersionLast="47" xr6:coauthVersionMax="47" xr10:uidLastSave="{00000000-0000-0000-0000-000000000000}"/>
  <bookViews>
    <workbookView xWindow="16457" yWindow="0" windowWidth="16457" windowHeight="17914" activeTab="1" xr2:uid="{2BA4E593-A352-47EC-99E1-084A627EBC7B}"/>
  </bookViews>
  <sheets>
    <sheet name="Primary" sheetId="1" r:id="rId1"/>
    <sheet name="Red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2" l="1"/>
  <c r="I28" i="2"/>
  <c r="I29" i="2"/>
  <c r="I30" i="2"/>
  <c r="I31" i="2"/>
  <c r="I32" i="2"/>
  <c r="I33" i="2"/>
  <c r="I34" i="2"/>
  <c r="I35" i="2"/>
  <c r="I26" i="2"/>
  <c r="H27" i="2"/>
  <c r="H28" i="2"/>
  <c r="H29" i="2"/>
  <c r="H30" i="2"/>
  <c r="H31" i="2"/>
  <c r="H32" i="2"/>
  <c r="H33" i="2"/>
  <c r="H34" i="2"/>
  <c r="H35" i="2"/>
  <c r="H26" i="2"/>
  <c r="G27" i="2"/>
  <c r="G28" i="2"/>
  <c r="G29" i="2"/>
  <c r="G30" i="2"/>
  <c r="G31" i="2"/>
  <c r="G32" i="2"/>
  <c r="G33" i="2"/>
  <c r="G34" i="2"/>
  <c r="G35" i="2"/>
  <c r="G26" i="2"/>
  <c r="B13" i="2"/>
  <c r="B14" i="2"/>
  <c r="B15" i="2"/>
  <c r="B16" i="2"/>
  <c r="B17" i="2"/>
  <c r="B18" i="2"/>
  <c r="B19" i="2"/>
  <c r="B20" i="2"/>
  <c r="B21" i="2"/>
  <c r="B22" i="2"/>
  <c r="B11" i="2"/>
  <c r="B10" i="2"/>
  <c r="B9" i="2"/>
  <c r="B8" i="2"/>
  <c r="B7" i="2"/>
  <c r="B6" i="2"/>
  <c r="B5" i="2"/>
  <c r="B4" i="2"/>
  <c r="B3" i="2"/>
  <c r="B2" i="2"/>
  <c r="G30" i="1"/>
  <c r="B2" i="1"/>
  <c r="B5" i="1"/>
  <c r="B6" i="1"/>
  <c r="B7" i="1"/>
  <c r="B8" i="1"/>
  <c r="B9" i="1"/>
  <c r="B10" i="1"/>
  <c r="B11" i="1"/>
  <c r="B12" i="1"/>
  <c r="B13" i="1"/>
  <c r="B15" i="1"/>
  <c r="B4" i="1"/>
  <c r="P45" i="2"/>
  <c r="P44" i="2"/>
  <c r="M41" i="2"/>
  <c r="M42" i="2"/>
  <c r="M45" i="2"/>
  <c r="M47" i="2"/>
  <c r="M39" i="2"/>
  <c r="M44" i="2"/>
  <c r="M40" i="2"/>
  <c r="M43" i="2"/>
  <c r="M46" i="2"/>
  <c r="M38" i="2"/>
  <c r="H17" i="2"/>
  <c r="I22" i="2"/>
  <c r="I13" i="2"/>
  <c r="I19" i="2"/>
  <c r="H20" i="2"/>
  <c r="H15" i="2"/>
  <c r="H21" i="2"/>
  <c r="H22" i="2"/>
  <c r="I17" i="2"/>
  <c r="I18" i="2"/>
  <c r="H19" i="2"/>
  <c r="G20" i="2"/>
  <c r="I15" i="2"/>
  <c r="I16" i="2"/>
  <c r="G18" i="2"/>
  <c r="H18" i="2"/>
  <c r="G19" i="2"/>
  <c r="G14" i="2"/>
  <c r="I14" i="2"/>
  <c r="I20" i="2"/>
  <c r="G16" i="2"/>
  <c r="I21" i="2"/>
  <c r="G17" i="2"/>
  <c r="G13" i="2"/>
  <c r="H14" i="2"/>
  <c r="G15" i="2"/>
  <c r="G21" i="2"/>
  <c r="H16" i="2"/>
  <c r="H13" i="2"/>
  <c r="G22" i="2"/>
  <c r="C14" i="2"/>
  <c r="C17" i="2"/>
  <c r="C20" i="2"/>
  <c r="C22" i="2"/>
  <c r="C12" i="2"/>
  <c r="C15" i="2"/>
  <c r="C16" i="2"/>
  <c r="C18" i="2"/>
  <c r="C21" i="2"/>
  <c r="C13" i="2"/>
  <c r="C19" i="2"/>
  <c r="L47" i="2"/>
  <c r="L40" i="2"/>
  <c r="L39" i="2"/>
  <c r="L41" i="2"/>
  <c r="L46" i="2"/>
  <c r="L42" i="2"/>
  <c r="L43" i="2"/>
  <c r="L45" i="2"/>
  <c r="L44" i="2"/>
  <c r="L38" i="2"/>
  <c r="J44" i="2"/>
  <c r="J45" i="2"/>
  <c r="I11" i="2"/>
  <c r="H8" i="2"/>
  <c r="G5" i="2"/>
  <c r="C2" i="2"/>
  <c r="E28" i="1"/>
  <c r="H11" i="2"/>
  <c r="G8" i="2"/>
  <c r="C5" i="2"/>
  <c r="F28" i="1"/>
  <c r="L45" i="1"/>
  <c r="H15" i="1"/>
  <c r="C12" i="1"/>
  <c r="C2" i="1"/>
  <c r="L46" i="1"/>
  <c r="C5" i="1"/>
  <c r="C7" i="1"/>
  <c r="L44" i="1"/>
  <c r="C9" i="2"/>
  <c r="C10" i="1"/>
  <c r="C8" i="1"/>
  <c r="G11" i="2"/>
  <c r="C8" i="2"/>
  <c r="C11" i="2"/>
  <c r="I4" i="2"/>
  <c r="G2" i="1"/>
  <c r="L47" i="1"/>
  <c r="H6" i="1"/>
  <c r="I7" i="1"/>
  <c r="I7" i="2"/>
  <c r="H4" i="2"/>
  <c r="I5" i="1"/>
  <c r="H2" i="2"/>
  <c r="I10" i="2"/>
  <c r="H7" i="2"/>
  <c r="G4" i="2"/>
  <c r="H2" i="1"/>
  <c r="L43" i="1"/>
  <c r="C15" i="1"/>
  <c r="C16" i="1"/>
  <c r="C3" i="2"/>
  <c r="G9" i="2"/>
  <c r="I15" i="1"/>
  <c r="H10" i="2"/>
  <c r="G7" i="2"/>
  <c r="C4" i="2"/>
  <c r="L42" i="1"/>
  <c r="H10" i="1"/>
  <c r="H7" i="1"/>
  <c r="L48" i="1"/>
  <c r="C4" i="1"/>
  <c r="L50" i="1"/>
  <c r="L49" i="1"/>
  <c r="G10" i="2"/>
  <c r="C7" i="2"/>
  <c r="C9" i="1"/>
  <c r="G4" i="1"/>
  <c r="I6" i="1"/>
  <c r="I12" i="1"/>
  <c r="G6" i="2"/>
  <c r="H12" i="1"/>
  <c r="C6" i="1"/>
  <c r="C10" i="2"/>
  <c r="I3" i="2"/>
  <c r="I9" i="1"/>
  <c r="H13" i="1"/>
  <c r="H9" i="1"/>
  <c r="H9" i="2"/>
  <c r="I4" i="1"/>
  <c r="C6" i="2"/>
  <c r="I6" i="2"/>
  <c r="H3" i="2"/>
  <c r="I11" i="1"/>
  <c r="G15" i="1"/>
  <c r="I9" i="2"/>
  <c r="H6" i="2"/>
  <c r="G3" i="2"/>
  <c r="C14" i="1"/>
  <c r="I8" i="2"/>
  <c r="H5" i="2"/>
  <c r="G2" i="2"/>
  <c r="D28" i="1"/>
  <c r="I13" i="1"/>
  <c r="H5" i="1"/>
  <c r="I8" i="1"/>
  <c r="H4" i="1"/>
  <c r="C13" i="1"/>
  <c r="H8" i="1"/>
  <c r="I2" i="1"/>
  <c r="C11" i="1"/>
  <c r="I10" i="1"/>
  <c r="I2" i="2"/>
  <c r="I5" i="2"/>
  <c r="H11" i="1"/>
  <c r="J49" i="1"/>
  <c r="J48" i="1"/>
  <c r="G26" i="1" l="1"/>
  <c r="G25" i="1"/>
  <c r="G17" i="1"/>
  <c r="G18" i="1"/>
  <c r="G24" i="1"/>
  <c r="G19" i="1"/>
  <c r="G23" i="1"/>
  <c r="G20" i="1"/>
  <c r="G21" i="1"/>
  <c r="G22" i="1"/>
  <c r="H20" i="1"/>
  <c r="H26" i="1"/>
  <c r="H21" i="1"/>
  <c r="H24" i="1"/>
  <c r="H22" i="1"/>
  <c r="H23" i="1"/>
  <c r="H19" i="1"/>
  <c r="H25" i="1"/>
  <c r="H17" i="1"/>
  <c r="H18" i="1"/>
  <c r="L41" i="1"/>
  <c r="I25" i="1"/>
  <c r="I26" i="1"/>
  <c r="I17" i="1"/>
  <c r="I19" i="1"/>
  <c r="I21" i="1"/>
  <c r="I22" i="1"/>
  <c r="I23" i="1"/>
  <c r="I24" i="1"/>
  <c r="I18" i="1"/>
  <c r="I20" i="1"/>
  <c r="F26" i="2"/>
  <c r="E26" i="2"/>
  <c r="D26" i="2"/>
  <c r="D30" i="2"/>
  <c r="F30" i="2"/>
  <c r="E30" i="2"/>
  <c r="F27" i="2"/>
  <c r="E27" i="2"/>
  <c r="D27" i="2"/>
  <c r="D34" i="2"/>
  <c r="F34" i="2"/>
  <c r="E34" i="2"/>
  <c r="D31" i="2"/>
  <c r="F31" i="2"/>
  <c r="E31" i="2"/>
  <c r="F32" i="2"/>
  <c r="D32" i="2"/>
  <c r="E32" i="2"/>
  <c r="F35" i="2"/>
  <c r="E35" i="2"/>
  <c r="D35" i="2"/>
  <c r="E28" i="2"/>
  <c r="F28" i="2"/>
  <c r="D28" i="2"/>
  <c r="F33" i="2"/>
  <c r="E33" i="2"/>
  <c r="D33" i="2"/>
  <c r="F29" i="2"/>
  <c r="D29" i="2"/>
  <c r="E29" i="2"/>
  <c r="G11" i="1"/>
  <c r="G12" i="1"/>
  <c r="D21" i="1"/>
  <c r="D18" i="1"/>
  <c r="D24" i="1"/>
  <c r="E21" i="1"/>
  <c r="E23" i="1"/>
  <c r="D25" i="1"/>
  <c r="E17" i="1"/>
  <c r="F20" i="1"/>
  <c r="D19" i="1"/>
  <c r="F26" i="1"/>
  <c r="E26" i="1"/>
  <c r="F17" i="1"/>
  <c r="G8" i="1"/>
  <c r="E18" i="1"/>
  <c r="G6" i="1"/>
  <c r="F18" i="1"/>
  <c r="M42" i="1" s="1"/>
  <c r="F25" i="1"/>
  <c r="F24" i="1"/>
  <c r="G9" i="1"/>
  <c r="D20" i="1"/>
  <c r="F22" i="1"/>
  <c r="D23" i="1"/>
  <c r="G13" i="1"/>
  <c r="D17" i="1"/>
  <c r="M41" i="1" s="1"/>
  <c r="F21" i="1"/>
  <c r="G10" i="1"/>
  <c r="E20" i="1"/>
  <c r="F19" i="1"/>
  <c r="E25" i="1"/>
  <c r="E24" i="1"/>
  <c r="M48" i="1"/>
  <c r="G7" i="1"/>
  <c r="C18" i="1"/>
  <c r="F23" i="1"/>
  <c r="D22" i="1"/>
  <c r="C24" i="1"/>
  <c r="E22" i="1"/>
  <c r="C22" i="1"/>
  <c r="E19" i="1"/>
  <c r="D26" i="1"/>
  <c r="C26" i="1" s="1"/>
  <c r="G5" i="1"/>
  <c r="M45" i="1"/>
  <c r="C21" i="1"/>
  <c r="C20" i="1"/>
  <c r="M44" i="1"/>
  <c r="M43" i="1"/>
  <c r="C19" i="1"/>
  <c r="C25" i="1"/>
  <c r="M49" i="1"/>
  <c r="C23" i="1"/>
  <c r="M47" i="1"/>
  <c r="C26" i="2"/>
  <c r="N38" i="2"/>
  <c r="C30" i="2"/>
  <c r="N42" i="2"/>
  <c r="C27" i="2"/>
  <c r="N39" i="2"/>
  <c r="C34" i="2"/>
  <c r="N46" i="2"/>
  <c r="C31" i="2"/>
  <c r="N43" i="2"/>
  <c r="C32" i="2"/>
  <c r="N44" i="2"/>
  <c r="C35" i="2"/>
  <c r="N47" i="2"/>
  <c r="C28" i="2"/>
  <c r="N40" i="2"/>
  <c r="C33" i="2"/>
  <c r="N45" i="2"/>
  <c r="C29" i="2"/>
  <c r="N41" i="2"/>
  <c r="B29" i="2" l="1"/>
  <c r="B33" i="2"/>
  <c r="B28" i="2"/>
  <c r="B35" i="2"/>
  <c r="B32" i="2"/>
  <c r="B31" i="2"/>
  <c r="B34" i="2"/>
  <c r="B27" i="2"/>
  <c r="B30" i="2"/>
  <c r="B26" i="2"/>
  <c r="B24" i="1"/>
  <c r="B19" i="1"/>
  <c r="B17" i="1"/>
  <c r="B18" i="1"/>
  <c r="B23" i="1"/>
  <c r="B26" i="1"/>
  <c r="B20" i="1"/>
  <c r="B22" i="1"/>
  <c r="B25" i="1"/>
  <c r="B21" i="1"/>
  <c r="M46" i="1"/>
  <c r="M50" i="1"/>
  <c r="C17" i="1"/>
  <c r="H37" i="1" l="1"/>
  <c r="H33" i="1"/>
  <c r="H39" i="1"/>
  <c r="H30" i="1"/>
  <c r="H35" i="1"/>
  <c r="H31" i="1"/>
  <c r="H36" i="1"/>
  <c r="H38" i="1"/>
  <c r="H34" i="1"/>
  <c r="H32" i="1"/>
  <c r="G39" i="1" l="1"/>
  <c r="G34" i="1"/>
  <c r="G33" i="1"/>
  <c r="G35" i="1"/>
  <c r="G36" i="1"/>
  <c r="G38" i="1"/>
  <c r="G37" i="1"/>
  <c r="G32" i="1"/>
  <c r="G31" i="1"/>
  <c r="C28" i="1"/>
  <c r="I30" i="1" l="1"/>
  <c r="I35" i="1"/>
  <c r="I34" i="1"/>
  <c r="I31" i="1"/>
  <c r="I38" i="1"/>
  <c r="I37" i="1"/>
  <c r="I32" i="1"/>
  <c r="I33" i="1"/>
  <c r="I39" i="1"/>
  <c r="I36" i="1"/>
  <c r="B28" i="1"/>
  <c r="D31" i="1"/>
  <c r="E32" i="1"/>
  <c r="F32" i="1"/>
  <c r="D34" i="1"/>
  <c r="F31" i="1"/>
  <c r="E37" i="1"/>
  <c r="D38" i="1"/>
  <c r="F37" i="1"/>
  <c r="D32" i="1"/>
  <c r="N43" i="1"/>
  <c r="E35" i="1"/>
  <c r="D37" i="1"/>
  <c r="E39" i="1"/>
  <c r="F34" i="1"/>
  <c r="E31" i="1"/>
  <c r="E33" i="1"/>
  <c r="F39" i="1"/>
  <c r="D36" i="1"/>
  <c r="F38" i="1"/>
  <c r="F33" i="1"/>
  <c r="D39" i="1"/>
  <c r="N48" i="1"/>
  <c r="D33" i="1"/>
  <c r="C33" i="1" s="1"/>
  <c r="E34" i="1"/>
  <c r="C32" i="1"/>
  <c r="D35" i="1"/>
  <c r="E36" i="1"/>
  <c r="C34" i="1"/>
  <c r="N44" i="1"/>
  <c r="F36" i="1"/>
  <c r="E38" i="1"/>
  <c r="E30" i="1"/>
  <c r="F35" i="1"/>
  <c r="N42" i="1"/>
  <c r="N45" i="1"/>
  <c r="C37" i="1"/>
  <c r="F30" i="1"/>
  <c r="C31" i="1"/>
  <c r="D30" i="1"/>
  <c r="N50" i="1"/>
  <c r="C39" i="1"/>
  <c r="C36" i="1"/>
  <c r="N47" i="1"/>
  <c r="N49" i="1"/>
  <c r="C38" i="1"/>
  <c r="C35" i="1"/>
  <c r="N46" i="1"/>
  <c r="N41" i="1"/>
  <c r="C30" i="1"/>
  <c r="B34" i="1" l="1"/>
  <c r="B39" i="1"/>
  <c r="B32" i="1"/>
  <c r="B38" i="1"/>
  <c r="B35" i="1"/>
  <c r="B36" i="1"/>
  <c r="B33" i="1"/>
  <c r="B37" i="1"/>
  <c r="B31" i="1"/>
  <c r="B30" i="1"/>
</calcChain>
</file>

<file path=xl/sharedStrings.xml><?xml version="1.0" encoding="utf-8"?>
<sst xmlns="http://schemas.openxmlformats.org/spreadsheetml/2006/main" count="76" uniqueCount="67">
  <si>
    <t>slate-50</t>
  </si>
  <si>
    <t>slate-100</t>
  </si>
  <si>
    <t>slate-200</t>
  </si>
  <si>
    <t>slate-300</t>
  </si>
  <si>
    <t>slate-400</t>
  </si>
  <si>
    <t>slate-500</t>
  </si>
  <si>
    <t>slate-600</t>
  </si>
  <si>
    <t>slate-700</t>
  </si>
  <si>
    <t>slate-800</t>
  </si>
  <si>
    <t>slate-900</t>
  </si>
  <si>
    <t>h</t>
  </si>
  <si>
    <t>s</t>
  </si>
  <si>
    <t>l</t>
  </si>
  <si>
    <t>r</t>
  </si>
  <si>
    <t>g</t>
  </si>
  <si>
    <t>b</t>
  </si>
  <si>
    <t>indp-700</t>
  </si>
  <si>
    <t>indp-50</t>
  </si>
  <si>
    <t>indp-100</t>
  </si>
  <si>
    <t>indp-200</t>
  </si>
  <si>
    <t>indp-300</t>
  </si>
  <si>
    <t>indp-400</t>
  </si>
  <si>
    <t>indp-500</t>
  </si>
  <si>
    <t>indp-600</t>
  </si>
  <si>
    <t>indp-800</t>
  </si>
  <si>
    <t>indp-900</t>
  </si>
  <si>
    <t>primary-700</t>
  </si>
  <si>
    <t>primary-50</t>
  </si>
  <si>
    <t>primary-100</t>
  </si>
  <si>
    <t>primary-200</t>
  </si>
  <si>
    <t>primary-300</t>
  </si>
  <si>
    <t>primary-400</t>
  </si>
  <si>
    <t>primary-500</t>
  </si>
  <si>
    <t>primary-600</t>
  </si>
  <si>
    <t>primary-800</t>
  </si>
  <si>
    <t>primary-900</t>
  </si>
  <si>
    <t>red-50</t>
  </si>
  <si>
    <t>red-100</t>
  </si>
  <si>
    <t>red-200</t>
  </si>
  <si>
    <t>red-300</t>
  </si>
  <si>
    <t>red-400</t>
  </si>
  <si>
    <t>red-500</t>
  </si>
  <si>
    <t>red-600</t>
  </si>
  <si>
    <t>red-700</t>
  </si>
  <si>
    <t>red-800</t>
  </si>
  <si>
    <t>red-900</t>
  </si>
  <si>
    <t>rose-50</t>
  </si>
  <si>
    <t>rose-100</t>
  </si>
  <si>
    <t>rose-200</t>
  </si>
  <si>
    <t>rose-300</t>
  </si>
  <si>
    <t>rose-400</t>
  </si>
  <si>
    <t>rose-500</t>
  </si>
  <si>
    <t>rose-600</t>
  </si>
  <si>
    <t>rose-700</t>
  </si>
  <si>
    <t>rose-800</t>
  </si>
  <si>
    <t>rose-900</t>
  </si>
  <si>
    <t>mix-50</t>
  </si>
  <si>
    <t>mix-100</t>
  </si>
  <si>
    <t>mix-200</t>
  </si>
  <si>
    <t>mix-300</t>
  </si>
  <si>
    <t>mix-400</t>
  </si>
  <si>
    <t>mix-500</t>
  </si>
  <si>
    <t>mix-600</t>
  </si>
  <si>
    <t>mix-700</t>
  </si>
  <si>
    <t>mix-800</t>
  </si>
  <si>
    <t>mix-900</t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</si>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</sst>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464D7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9F9F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2E8F0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94A3B8"/>
        <bgColor indexed="64"/>
      </patternFill>
    </fill>
    <fill>
      <patternFill patternType="solid">
        <fgColor rgb="FF64748B"/>
        <bgColor indexed="64"/>
      </patternFill>
    </fill>
    <fill>
      <patternFill patternType="solid">
        <fgColor rgb="FF475569"/>
        <bgColor indexed="64"/>
      </patternFill>
    </fill>
    <fill>
      <patternFill patternType="solid">
        <fgColor rgb="FF334155"/>
        <bgColor indexed="64"/>
      </patternFill>
    </fill>
    <fill>
      <patternFill patternType="solid">
        <fgColor rgb="FF6C75A9"/>
        <bgColor indexed="64"/>
      </patternFill>
    </fill>
    <fill>
      <patternFill patternType="solid">
        <fgColor rgb="FFE6E8F1"/>
        <bgColor indexed="64"/>
      </patternFill>
    </fill>
    <fill>
      <patternFill patternType="solid">
        <fgColor rgb="FFD2D5E5"/>
        <bgColor indexed="64"/>
      </patternFill>
    </fill>
    <fill>
      <patternFill patternType="solid">
        <fgColor rgb="FF9EA4C6"/>
        <bgColor indexed="64"/>
      </patternFill>
    </fill>
    <fill>
      <patternFill patternType="solid">
        <fgColor rgb="FF535B8D"/>
        <bgColor indexed="64"/>
      </patternFill>
    </fill>
    <fill>
      <patternFill patternType="solid">
        <fgColor rgb="FFF3F4F8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373C5E"/>
        <bgColor indexed="64"/>
      </patternFill>
    </fill>
    <fill>
      <patternFill patternType="solid">
        <fgColor rgb="FF0F172A"/>
        <bgColor indexed="64"/>
      </patternFill>
    </fill>
    <fill>
      <patternFill patternType="solid">
        <fgColor rgb="FF2D314D"/>
        <bgColor indexed="64"/>
      </patternFill>
    </fill>
    <fill>
      <patternFill patternType="solid">
        <fgColor rgb="FF4C5171"/>
        <bgColor indexed="64"/>
      </patternFill>
    </fill>
    <fill>
      <patternFill patternType="solid">
        <fgColor rgb="FFF4F4F8"/>
        <bgColor indexed="64"/>
      </patternFill>
    </fill>
    <fill>
      <patternFill patternType="solid">
        <fgColor rgb="FFD4D6E2"/>
        <bgColor indexed="64"/>
      </patternFill>
    </fill>
    <fill>
      <patternFill patternType="solid">
        <fgColor rgb="FF595F86"/>
        <bgColor indexed="64"/>
      </patternFill>
    </fill>
    <fill>
      <patternFill patternType="solid">
        <fgColor rgb="FF737AA2"/>
        <bgColor indexed="64"/>
      </patternFill>
    </fill>
    <fill>
      <patternFill patternType="solid">
        <fgColor rgb="FF3C4059"/>
        <bgColor indexed="64"/>
      </patternFill>
    </fill>
    <fill>
      <patternFill patternType="solid">
        <fgColor rgb="FFE8E9EF"/>
        <bgColor indexed="64"/>
      </patternFill>
    </fill>
    <fill>
      <patternFill patternType="solid">
        <fgColor rgb="FF313449"/>
        <bgColor indexed="64"/>
      </patternFill>
    </fill>
    <fill>
      <patternFill patternType="solid">
        <fgColor rgb="FFA3A7C2"/>
        <bgColor indexed="64"/>
      </patternFill>
    </fill>
    <fill>
      <patternFill patternType="solid">
        <fgColor rgb="FFFF2D55"/>
        <bgColor indexed="64"/>
      </patternFill>
    </fill>
    <fill>
      <patternFill patternType="solid">
        <fgColor rgb="FFFE8020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FEE2E2"/>
        <bgColor indexed="64"/>
      </patternFill>
    </fill>
    <fill>
      <patternFill patternType="solid">
        <fgColor rgb="FFFECACA"/>
        <bgColor indexed="64"/>
      </patternFill>
    </fill>
    <fill>
      <patternFill patternType="solid">
        <fgColor rgb="FFFCA5A5"/>
        <bgColor indexed="64"/>
      </patternFill>
    </fill>
    <fill>
      <patternFill patternType="solid">
        <fgColor rgb="FFF87171"/>
        <bgColor indexed="64"/>
      </patternFill>
    </fill>
    <fill>
      <patternFill patternType="solid">
        <fgColor rgb="FFEF4444"/>
        <bgColor indexed="64"/>
      </patternFill>
    </fill>
    <fill>
      <patternFill patternType="solid">
        <fgColor rgb="FFB91C1C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7F1D1D"/>
        <bgColor indexed="64"/>
      </patternFill>
    </fill>
    <fill>
      <patternFill patternType="solid">
        <fgColor rgb="FF991B1B"/>
        <bgColor indexed="64"/>
      </patternFill>
    </fill>
    <fill>
      <patternFill patternType="solid">
        <fgColor rgb="FFFFE4E6"/>
        <bgColor indexed="64"/>
      </patternFill>
    </fill>
    <fill>
      <patternFill patternType="solid">
        <fgColor rgb="FFFB7185"/>
        <bgColor indexed="64"/>
      </patternFill>
    </fill>
    <fill>
      <patternFill patternType="solid">
        <fgColor rgb="FFBE123C"/>
        <bgColor indexed="64"/>
      </patternFill>
    </fill>
    <fill>
      <patternFill patternType="solid">
        <fgColor rgb="FF881337"/>
        <bgColor indexed="64"/>
      </patternFill>
    </fill>
    <fill>
      <patternFill patternType="solid">
        <fgColor rgb="FFFECDD3"/>
        <bgColor indexed="64"/>
      </patternFill>
    </fill>
    <fill>
      <patternFill patternType="solid">
        <fgColor rgb="FFFDA4AF"/>
        <bgColor indexed="64"/>
      </patternFill>
    </fill>
    <fill>
      <patternFill patternType="solid">
        <fgColor rgb="FFF43F5E"/>
        <bgColor indexed="64"/>
      </patternFill>
    </fill>
    <fill>
      <patternFill patternType="solid">
        <fgColor rgb="FF9F1239"/>
        <bgColor indexed="64"/>
      </patternFill>
    </fill>
    <fill>
      <patternFill patternType="solid">
        <fgColor rgb="FFFFF1F2"/>
        <bgColor indexed="64"/>
      </patternFill>
    </fill>
    <fill>
      <patternFill patternType="solid">
        <fgColor rgb="FFE11D48"/>
        <bgColor indexed="64"/>
      </patternFill>
    </fill>
    <fill>
      <patternFill patternType="solid">
        <fgColor rgb="FFFECCCE"/>
        <bgColor indexed="64"/>
      </patternFill>
    </fill>
    <fill>
      <patternFill patternType="solid">
        <fgColor rgb="FFFCA4A9"/>
        <bgColor indexed="64"/>
      </patternFill>
    </fill>
    <fill>
      <patternFill patternType="solid">
        <fgColor rgb="FFDF2135"/>
        <bgColor indexed="64"/>
      </patternFill>
    </fill>
    <fill>
      <patternFill patternType="solid">
        <fgColor rgb="FF9C1628"/>
        <bgColor indexed="64"/>
      </patternFill>
    </fill>
    <fill>
      <patternFill patternType="solid">
        <fgColor rgb="FF841828"/>
        <bgColor indexed="64"/>
      </patternFill>
    </fill>
    <fill>
      <patternFill patternType="solid">
        <fgColor rgb="FFF24250"/>
        <bgColor indexed="64"/>
      </patternFill>
    </fill>
    <fill>
      <patternFill patternType="solid">
        <fgColor rgb="FFFA717A"/>
        <bgColor indexed="64"/>
      </patternFill>
    </fill>
    <fill>
      <patternFill patternType="solid">
        <fgColor rgb="FFBC172A"/>
        <bgColor indexed="64"/>
      </patternFill>
    </fill>
    <fill>
      <patternFill patternType="solid">
        <fgColor rgb="FFFFE3E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0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Primary!$G$4:$G$13</c:f>
              <c:numCache>
                <c:formatCode>General</c:formatCode>
                <c:ptCount val="10"/>
                <c:pt idx="0">
                  <c:v>210.00000000000023</c:v>
                </c:pt>
                <c:pt idx="1">
                  <c:v>209.99999999999989</c:v>
                </c:pt>
                <c:pt idx="2">
                  <c:v>214.28571428571428</c:v>
                </c:pt>
                <c:pt idx="3">
                  <c:v>212.72727272727266</c:v>
                </c:pt>
                <c:pt idx="4">
                  <c:v>215.00000000000003</c:v>
                </c:pt>
                <c:pt idx="5">
                  <c:v>215.38461538461536</c:v>
                </c:pt>
                <c:pt idx="6">
                  <c:v>215.29411764705884</c:v>
                </c:pt>
                <c:pt idx="7">
                  <c:v>215.29411764705884</c:v>
                </c:pt>
                <c:pt idx="8">
                  <c:v>217.24137931034483</c:v>
                </c:pt>
                <c:pt idx="9">
                  <c:v>222.22222222222223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C-44DB-AF9A-7C7B810DF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961280"/>
        <c:axId val="739959200"/>
      </c:lineChart>
      <c:catAx>
        <c:axId val="739961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59200"/>
        <c:crosses val="autoZero"/>
        <c:auto val="1"/>
        <c:lblAlgn val="ctr"/>
        <c:lblOffset val="100"/>
        <c:noMultiLvlLbl val="0"/>
      </c:catAx>
      <c:valAx>
        <c:axId val="739959200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6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Primary!$H$4:$H$13</c:f>
              <c:numCache>
                <c:formatCode>General</c:formatCode>
                <c:ptCount val="10"/>
                <c:pt idx="0">
                  <c:v>0.40000000000000169</c:v>
                </c:pt>
                <c:pt idx="1">
                  <c:v>0.39999999999999969</c:v>
                </c:pt>
                <c:pt idx="2">
                  <c:v>0.31818181818181823</c:v>
                </c:pt>
                <c:pt idx="3">
                  <c:v>0.26829268292682928</c:v>
                </c:pt>
                <c:pt idx="4">
                  <c:v>0.20224719101123589</c:v>
                </c:pt>
                <c:pt idx="5">
                  <c:v>0.16317991631799159</c:v>
                </c:pt>
                <c:pt idx="6">
                  <c:v>0.19318181818181815</c:v>
                </c:pt>
                <c:pt idx="7">
                  <c:v>0.24999999999999994</c:v>
                </c:pt>
                <c:pt idx="8">
                  <c:v>0.3258426966292135</c:v>
                </c:pt>
                <c:pt idx="9">
                  <c:v>0.47368421052631576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0-4E52-8B89-C2D50814B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942560"/>
        <c:axId val="739967520"/>
      </c:lineChart>
      <c:catAx>
        <c:axId val="739942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67520"/>
        <c:crosses val="autoZero"/>
        <c:auto val="1"/>
        <c:lblAlgn val="ctr"/>
        <c:lblOffset val="100"/>
        <c:noMultiLvlLbl val="0"/>
      </c:catAx>
      <c:valAx>
        <c:axId val="7399675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Primary!$I$4:$I$13</c:f>
              <c:numCache>
                <c:formatCode>General</c:formatCode>
                <c:ptCount val="10"/>
                <c:pt idx="0">
                  <c:v>0.98039215686274517</c:v>
                </c:pt>
                <c:pt idx="1">
                  <c:v>0.96078431372549011</c:v>
                </c:pt>
                <c:pt idx="2">
                  <c:v>0.9137254901960784</c:v>
                </c:pt>
                <c:pt idx="3">
                  <c:v>0.83921568627450971</c:v>
                </c:pt>
                <c:pt idx="4">
                  <c:v>0.65098039215686276</c:v>
                </c:pt>
                <c:pt idx="5">
                  <c:v>0.46862745098039216</c:v>
                </c:pt>
                <c:pt idx="6">
                  <c:v>0.34509803921568627</c:v>
                </c:pt>
                <c:pt idx="7">
                  <c:v>0.26666666666666666</c:v>
                </c:pt>
                <c:pt idx="8">
                  <c:v>0.17450980392156862</c:v>
                </c:pt>
                <c:pt idx="9">
                  <c:v>0.11176470588235293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FB-4DC5-A61D-A02D14570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250720"/>
        <c:axId val="735244480"/>
      </c:lineChart>
      <c:catAx>
        <c:axId val="735250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44480"/>
        <c:crosses val="autoZero"/>
        <c:auto val="1"/>
        <c:lblAlgn val="ctr"/>
        <c:lblOffset val="100"/>
        <c:noMultiLvlLbl val="0"/>
      </c:catAx>
      <c:valAx>
        <c:axId val="7352444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5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Primary!$I$17:$I$26</c:f>
              <c:numCache>
                <c:formatCode>General</c:formatCode>
                <c:ptCount val="10"/>
                <c:pt idx="0">
                  <c:v>0.98039215686274517</c:v>
                </c:pt>
                <c:pt idx="1">
                  <c:v>0.9636393018745959</c:v>
                </c:pt>
                <c:pt idx="2">
                  <c:v>0.92343244990303819</c:v>
                </c:pt>
                <c:pt idx="3">
                  <c:v>0.85977160094807148</c:v>
                </c:pt>
                <c:pt idx="4">
                  <c:v>0.69894419306184019</c:v>
                </c:pt>
                <c:pt idx="5">
                  <c:v>0.54314264167205351</c:v>
                </c:pt>
                <c:pt idx="6">
                  <c:v>0.43759965524671407</c:v>
                </c:pt>
                <c:pt idx="7">
                  <c:v>0.37058823529411766</c:v>
                </c:pt>
                <c:pt idx="8">
                  <c:v>0.29184981684981703</c:v>
                </c:pt>
                <c:pt idx="9">
                  <c:v>0.23824068088773975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04-4782-8FDE-608238C2B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4310544"/>
        <c:axId val="1114321776"/>
      </c:lineChart>
      <c:catAx>
        <c:axId val="11143105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321776"/>
        <c:crosses val="autoZero"/>
        <c:auto val="1"/>
        <c:lblAlgn val="ctr"/>
        <c:lblOffset val="100"/>
        <c:noMultiLvlLbl val="0"/>
      </c:catAx>
      <c:valAx>
        <c:axId val="11143217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31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Primary!$G$17:$G$26</c:f>
              <c:numCache>
                <c:formatCode>General</c:formatCode>
                <c:ptCount val="10"/>
                <c:pt idx="0">
                  <c:v>231.42857142857144</c:v>
                </c:pt>
                <c:pt idx="1">
                  <c:v>231.42857142857144</c:v>
                </c:pt>
                <c:pt idx="2">
                  <c:v>231.42857142857144</c:v>
                </c:pt>
                <c:pt idx="3">
                  <c:v>231.42857142857144</c:v>
                </c:pt>
                <c:pt idx="4">
                  <c:v>231.42857142857144</c:v>
                </c:pt>
                <c:pt idx="5">
                  <c:v>231.42857142857144</c:v>
                </c:pt>
                <c:pt idx="6">
                  <c:v>231.42857142857144</c:v>
                </c:pt>
                <c:pt idx="7">
                  <c:v>231.42857142857144</c:v>
                </c:pt>
                <c:pt idx="8">
                  <c:v>231.42857142857144</c:v>
                </c:pt>
                <c:pt idx="9">
                  <c:v>231.42857142857144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2D-4BAF-B296-D573EB4D6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9692032"/>
        <c:axId val="749683296"/>
      </c:lineChart>
      <c:catAx>
        <c:axId val="749692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83296"/>
        <c:crosses val="autoZero"/>
        <c:auto val="1"/>
        <c:lblAlgn val="ctr"/>
        <c:lblOffset val="100"/>
        <c:noMultiLvlLbl val="0"/>
      </c:catAx>
      <c:valAx>
        <c:axId val="749683296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9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Primary!$H$17:$H$26</c:f>
              <c:numCache>
                <c:formatCode>General</c:formatCode>
                <c:ptCount val="10"/>
                <c:pt idx="0">
                  <c:v>0.25925925925925924</c:v>
                </c:pt>
                <c:pt idx="1">
                  <c:v>0.25925925925925924</c:v>
                </c:pt>
                <c:pt idx="2">
                  <c:v>0.25925925925925924</c:v>
                </c:pt>
                <c:pt idx="3">
                  <c:v>0.25925925925925924</c:v>
                </c:pt>
                <c:pt idx="4">
                  <c:v>0.25925925925925924</c:v>
                </c:pt>
                <c:pt idx="5">
                  <c:v>0.25925925925925924</c:v>
                </c:pt>
                <c:pt idx="6">
                  <c:v>0.25925925925925924</c:v>
                </c:pt>
                <c:pt idx="7">
                  <c:v>0.25925925925925924</c:v>
                </c:pt>
                <c:pt idx="8">
                  <c:v>0.25925925925925924</c:v>
                </c:pt>
                <c:pt idx="9">
                  <c:v>0.25925925925925924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B-40FB-81AF-3151AE1A9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942976"/>
        <c:axId val="739952960"/>
      </c:lineChart>
      <c:catAx>
        <c:axId val="739942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52960"/>
        <c:crosses val="autoZero"/>
        <c:auto val="1"/>
        <c:lblAlgn val="ctr"/>
        <c:lblOffset val="100"/>
        <c:noMultiLvlLbl val="0"/>
      </c:catAx>
      <c:valAx>
        <c:axId val="739952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4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Primary!$G$30:$G$39</c:f>
              <c:numCache>
                <c:formatCode>General</c:formatCode>
                <c:ptCount val="10"/>
                <c:pt idx="0">
                  <c:v>231.42857142857144</c:v>
                </c:pt>
                <c:pt idx="1">
                  <c:v>231.42857142857144</c:v>
                </c:pt>
                <c:pt idx="2">
                  <c:v>231.42857142857144</c:v>
                </c:pt>
                <c:pt idx="3">
                  <c:v>231.42857142857144</c:v>
                </c:pt>
                <c:pt idx="4">
                  <c:v>231.42857142857144</c:v>
                </c:pt>
                <c:pt idx="5">
                  <c:v>231.42857142857144</c:v>
                </c:pt>
                <c:pt idx="6">
                  <c:v>231.42857142857144</c:v>
                </c:pt>
                <c:pt idx="7">
                  <c:v>231.42857142857144</c:v>
                </c:pt>
                <c:pt idx="8">
                  <c:v>231.42857142857144</c:v>
                </c:pt>
                <c:pt idx="9">
                  <c:v>231.42857142857144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A0-4916-871A-D8A38CB99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7162335"/>
        <c:axId val="1087160255"/>
      </c:lineChart>
      <c:catAx>
        <c:axId val="10871623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160255"/>
        <c:crosses val="autoZero"/>
        <c:auto val="1"/>
        <c:lblAlgn val="ctr"/>
        <c:lblOffset val="100"/>
        <c:noMultiLvlLbl val="0"/>
      </c:catAx>
      <c:valAx>
        <c:axId val="1087160255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162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Primary!$H$30:$H$39</c:f>
              <c:numCache>
                <c:formatCode>General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4-445D-ABFA-97C31B2E0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3707023"/>
        <c:axId val="1943696207"/>
      </c:lineChart>
      <c:catAx>
        <c:axId val="1943707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696207"/>
        <c:crosses val="autoZero"/>
        <c:auto val="1"/>
        <c:lblAlgn val="ctr"/>
        <c:lblOffset val="100"/>
        <c:noMultiLvlLbl val="0"/>
      </c:catAx>
      <c:valAx>
        <c:axId val="194369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70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Primary!$I$30:$I$39</c:f>
              <c:numCache>
                <c:formatCode>General</c:formatCode>
                <c:ptCount val="10"/>
                <c:pt idx="0">
                  <c:v>0.98039215686274517</c:v>
                </c:pt>
                <c:pt idx="1">
                  <c:v>0.96363929541047177</c:v>
                </c:pt>
                <c:pt idx="2">
                  <c:v>0.92343242792501612</c:v>
                </c:pt>
                <c:pt idx="3">
                  <c:v>0.85977155440637787</c:v>
                </c:pt>
                <c:pt idx="4">
                  <c:v>0.69894408446455514</c:v>
                </c:pt>
                <c:pt idx="5">
                  <c:v>0.54314247295841411</c:v>
                </c:pt>
                <c:pt idx="6">
                  <c:v>0.43759944580909282</c:v>
                </c:pt>
                <c:pt idx="7">
                  <c:v>0.37058799999999992</c:v>
                </c:pt>
                <c:pt idx="8">
                  <c:v>0.29184955117431588</c:v>
                </c:pt>
                <c:pt idx="9">
                  <c:v>0.23824039452704149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B-48E0-953A-66CF7E521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1267887"/>
        <c:axId val="1951273295"/>
      </c:lineChart>
      <c:catAx>
        <c:axId val="19512678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273295"/>
        <c:crosses val="autoZero"/>
        <c:auto val="1"/>
        <c:lblAlgn val="ctr"/>
        <c:lblOffset val="100"/>
        <c:noMultiLvlLbl val="0"/>
      </c:catAx>
      <c:valAx>
        <c:axId val="195127329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26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Red!$G$2:$G$11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D4-45E7-9949-FC8971548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961280"/>
        <c:axId val="739959200"/>
      </c:lineChart>
      <c:catAx>
        <c:axId val="7399612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59200"/>
        <c:crosses val="autoZero"/>
        <c:auto val="1"/>
        <c:lblAlgn val="ctr"/>
        <c:lblOffset val="100"/>
        <c:noMultiLvlLbl val="0"/>
      </c:catAx>
      <c:valAx>
        <c:axId val="739959200"/>
        <c:scaling>
          <c:orientation val="minMax"/>
          <c:max val="3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6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Red!$H$2:$H$11</c:f>
              <c:numCache>
                <c:formatCode>General</c:formatCode>
                <c:ptCount val="10"/>
                <c:pt idx="0">
                  <c:v>0.85714285714285776</c:v>
                </c:pt>
                <c:pt idx="1">
                  <c:v>0.93333333333333357</c:v>
                </c:pt>
                <c:pt idx="2">
                  <c:v>0.96296296296296313</c:v>
                </c:pt>
                <c:pt idx="3">
                  <c:v>0.9354838709677421</c:v>
                </c:pt>
                <c:pt idx="4">
                  <c:v>0.90604026845637575</c:v>
                </c:pt>
                <c:pt idx="5">
                  <c:v>0.8423645320197044</c:v>
                </c:pt>
                <c:pt idx="6">
                  <c:v>0.72222222222222232</c:v>
                </c:pt>
                <c:pt idx="7">
                  <c:v>0.73708920187793425</c:v>
                </c:pt>
                <c:pt idx="8">
                  <c:v>0.7</c:v>
                </c:pt>
                <c:pt idx="9">
                  <c:v>0.62820512820512819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7A-4E22-9B22-9B592CD97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9942560"/>
        <c:axId val="739967520"/>
      </c:lineChart>
      <c:catAx>
        <c:axId val="7399425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67520"/>
        <c:crosses val="autoZero"/>
        <c:auto val="1"/>
        <c:lblAlgn val="ctr"/>
        <c:lblOffset val="100"/>
        <c:noMultiLvlLbl val="0"/>
      </c:catAx>
      <c:valAx>
        <c:axId val="7399675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4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Red!$I$2:$I$11</c:f>
              <c:numCache>
                <c:formatCode>General</c:formatCode>
                <c:ptCount val="10"/>
                <c:pt idx="0">
                  <c:v>0.97254901960784312</c:v>
                </c:pt>
                <c:pt idx="1">
                  <c:v>0.94117647058823528</c:v>
                </c:pt>
                <c:pt idx="2">
                  <c:v>0.89411764705882346</c:v>
                </c:pt>
                <c:pt idx="3">
                  <c:v>0.81764705882352939</c:v>
                </c:pt>
                <c:pt idx="4">
                  <c:v>0.70784313725490189</c:v>
                </c:pt>
                <c:pt idx="5">
                  <c:v>0.60196078431372546</c:v>
                </c:pt>
                <c:pt idx="6">
                  <c:v>0.50588235294117645</c:v>
                </c:pt>
                <c:pt idx="7">
                  <c:v>0.41764705882352937</c:v>
                </c:pt>
                <c:pt idx="8">
                  <c:v>0.3529411764705882</c:v>
                </c:pt>
                <c:pt idx="9">
                  <c:v>0.30588235294117649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A-46D0-863E-19E8E5C4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5250720"/>
        <c:axId val="735244480"/>
      </c:lineChart>
      <c:catAx>
        <c:axId val="735250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44480"/>
        <c:crosses val="autoZero"/>
        <c:auto val="1"/>
        <c:lblAlgn val="ctr"/>
        <c:lblOffset val="100"/>
        <c:noMultiLvlLbl val="0"/>
      </c:catAx>
      <c:valAx>
        <c:axId val="7352444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25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198664</xdr:colOff>
      <xdr:row>3</xdr:row>
      <xdr:rowOff>73478</xdr:rowOff>
    </xdr:from>
    <xdr:to>
      <xdr:col>16</xdr:col>
      <xdr:colOff>228600</xdr:colOff>
      <xdr:row>13</xdr:row>
      <xdr:rowOff>21771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3C4182-C924-A940-3BE8-557E44AC1D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487135</xdr:colOff>
      <xdr:row>3</xdr:row>
      <xdr:rowOff>84364</xdr:rowOff>
    </xdr:from>
    <xdr:to>
      <xdr:col>23</xdr:col>
      <xdr:colOff>571499</xdr:colOff>
      <xdr:row>13</xdr:row>
      <xdr:rowOff>21771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673E41-E6BA-6104-FF13-42ED2ADC46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106134</xdr:colOff>
      <xdr:row>3</xdr:row>
      <xdr:rowOff>84365</xdr:rowOff>
    </xdr:from>
    <xdr:to>
      <xdr:col>31</xdr:col>
      <xdr:colOff>106134</xdr:colOff>
      <xdr:row>13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97FCD7A-A9C9-16DF-B392-0D0B523143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127907</xdr:colOff>
      <xdr:row>16</xdr:row>
      <xdr:rowOff>65314</xdr:rowOff>
    </xdr:from>
    <xdr:to>
      <xdr:col>31</xdr:col>
      <xdr:colOff>127907</xdr:colOff>
      <xdr:row>25</xdr:row>
      <xdr:rowOff>179615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FF87A52-8AC2-0FFD-5392-34388AF23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247650</xdr:colOff>
      <xdr:row>16</xdr:row>
      <xdr:rowOff>16328</xdr:rowOff>
    </xdr:from>
    <xdr:to>
      <xdr:col>16</xdr:col>
      <xdr:colOff>247650</xdr:colOff>
      <xdr:row>26</xdr:row>
      <xdr:rowOff>8163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85F38FE-F87F-0022-432F-A53938BB05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544285</xdr:colOff>
      <xdr:row>16</xdr:row>
      <xdr:rowOff>27214</xdr:rowOff>
    </xdr:from>
    <xdr:to>
      <xdr:col>23</xdr:col>
      <xdr:colOff>544285</xdr:colOff>
      <xdr:row>25</xdr:row>
      <xdr:rowOff>182336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7F3491D1-114F-566A-2F6D-DC21C7BBF2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253093</xdr:colOff>
      <xdr:row>29</xdr:row>
      <xdr:rowOff>32656</xdr:rowOff>
    </xdr:from>
    <xdr:to>
      <xdr:col>16</xdr:col>
      <xdr:colOff>253093</xdr:colOff>
      <xdr:row>38</xdr:row>
      <xdr:rowOff>160563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9FA23F-FCED-7BD9-5257-DE492E9FED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547007</xdr:colOff>
      <xdr:row>29</xdr:row>
      <xdr:rowOff>48985</xdr:rowOff>
    </xdr:from>
    <xdr:to>
      <xdr:col>23</xdr:col>
      <xdr:colOff>547007</xdr:colOff>
      <xdr:row>38</xdr:row>
      <xdr:rowOff>149678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2003CE5-2CF5-6335-1FF2-3511AA3FF4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100693</xdr:colOff>
      <xdr:row>29</xdr:row>
      <xdr:rowOff>59870</xdr:rowOff>
    </xdr:from>
    <xdr:to>
      <xdr:col>31</xdr:col>
      <xdr:colOff>100693</xdr:colOff>
      <xdr:row>38</xdr:row>
      <xdr:rowOff>144235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309B5E6-66D6-83FF-4555-F90F346CA8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204107</xdr:colOff>
      <xdr:row>1</xdr:row>
      <xdr:rowOff>8164</xdr:rowOff>
    </xdr:from>
    <xdr:to>
      <xdr:col>16</xdr:col>
      <xdr:colOff>234043</xdr:colOff>
      <xdr:row>10</xdr:row>
      <xdr:rowOff>141515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BA9D42-72D5-47BB-9B4A-7885D8520E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492578</xdr:colOff>
      <xdr:row>1</xdr:row>
      <xdr:rowOff>40821</xdr:rowOff>
    </xdr:from>
    <xdr:to>
      <xdr:col>23</xdr:col>
      <xdr:colOff>576942</xdr:colOff>
      <xdr:row>10</xdr:row>
      <xdr:rowOff>163286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270172-4E24-4B5B-A90E-82EB81F63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106134</xdr:colOff>
      <xdr:row>1</xdr:row>
      <xdr:rowOff>35379</xdr:rowOff>
    </xdr:from>
    <xdr:to>
      <xdr:col>31</xdr:col>
      <xdr:colOff>106134</xdr:colOff>
      <xdr:row>10</xdr:row>
      <xdr:rowOff>157843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9BF5D6E-DD49-411B-AB39-C0C8608A1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3322F-9E21-4F33-9594-EDAD2973F9E5}">
  <sheetPr codeName="Sheet1"/>
  <dimension ref="A1:N50"/>
  <sheetViews>
    <sheetView topLeftCell="A10" zoomScaleNormal="100" workbookViewId="0">
      <selection activeCell="P47" sqref="P47"/>
    </sheetView>
  </sheetViews>
  <sheetFormatPr defaultRowHeight="14.6" x14ac:dyDescent="0.4"/>
  <cols>
    <col min="1" max="1" width="10.84375" bestFit="1" customWidth="1"/>
    <col min="2" max="2" width="8.3046875" bestFit="1" customWidth="1"/>
    <col min="4" max="6" width="3.84375" bestFit="1" customWidth="1"/>
  </cols>
  <sheetData>
    <row r="1" spans="1:9" x14ac:dyDescent="0.4">
      <c r="D1" t="s">
        <v>13</v>
      </c>
      <c r="E1" t="s">
        <v>14</v>
      </c>
      <c r="F1" t="s">
        <v>15</v>
      </c>
      <c r="G1" t="s">
        <v>10</v>
      </c>
      <c r="H1" t="s">
        <v>11</v>
      </c>
      <c r="I1" t="s">
        <v>12</v>
      </c>
    </row>
    <row r="2" spans="1:9" x14ac:dyDescent="0.4">
      <c r="A2" t="s">
        <v>7</v>
      </c>
      <c r="B2" t="str">
        <f>LOWER(CONCATENATE("#", DEC2HEX(D2, 2), DEC2HEX(E2, 2), DEC2HEX(F2, 2)))</f>
        <v>#334155</v>
      </c>
      <c r="C2" s="11" t="str">
        <f>myRGB(D2,E2,F2)</f>
        <v/>
      </c>
      <c r="D2">
        <v>51</v>
      </c>
      <c r="E2">
        <v>65</v>
      </c>
      <c r="F2">
        <v>85</v>
      </c>
      <c r="G2">
        <f>GetHslFromRGB(D2,E2,F2, "H")</f>
        <v>215.29411764705884</v>
      </c>
      <c r="H2">
        <f>GetHslFromRGB(D2,E2,F2, "S")</f>
        <v>0.24999999999999994</v>
      </c>
      <c r="I2">
        <f>GetHslFromRGB(D2,E2,F2, "L")</f>
        <v>0.26666666666666666</v>
      </c>
    </row>
    <row r="3" spans="1:9" x14ac:dyDescent="0.4">
      <c r="C3" s="43"/>
    </row>
    <row r="4" spans="1:9" x14ac:dyDescent="0.4">
      <c r="A4" t="s">
        <v>0</v>
      </c>
      <c r="B4" t="str">
        <f>LOWER(CONCATENATE("#", DEC2HEX(D4, 2), DEC2HEX(E4, 2), DEC2HEX(F4, 2)))</f>
        <v>#f8fafc</v>
      </c>
      <c r="C4" s="3" t="str">
        <f>myRGB(D4,E4,F4)</f>
        <v/>
      </c>
      <c r="D4">
        <v>248</v>
      </c>
      <c r="E4">
        <v>250</v>
      </c>
      <c r="F4">
        <v>252</v>
      </c>
      <c r="G4">
        <f>GetHslFromRGB(D4,E4,F4, "H")</f>
        <v>210.00000000000023</v>
      </c>
      <c r="H4">
        <f>GetHslFromRGB(D4,E4,F4, "S")</f>
        <v>0.40000000000000169</v>
      </c>
      <c r="I4">
        <f>GetHslFromRGB(D4,E4,F4, "L")</f>
        <v>0.98039215686274517</v>
      </c>
    </row>
    <row r="5" spans="1:9" x14ac:dyDescent="0.4">
      <c r="A5" t="s">
        <v>1</v>
      </c>
      <c r="B5" t="str">
        <f>LOWER(CONCATENATE("#", DEC2HEX(D5, 2), DEC2HEX(E5, 2), DEC2HEX(F5, 2)))</f>
        <v>#f1f5f9</v>
      </c>
      <c r="C5" s="5" t="str">
        <f>myRGB(D5,E5,F5)</f>
        <v/>
      </c>
      <c r="D5">
        <v>241</v>
      </c>
      <c r="E5">
        <v>245</v>
      </c>
      <c r="F5">
        <v>249</v>
      </c>
      <c r="G5">
        <f>GetHslFromRGB(D5,E5,F5, "H")</f>
        <v>209.99999999999989</v>
      </c>
      <c r="H5">
        <f>GetHslFromRGB(D5,E5,F5, "S")</f>
        <v>0.39999999999999969</v>
      </c>
      <c r="I5">
        <f>GetHslFromRGB(D5,E5,F5, "L")</f>
        <v>0.96078431372549011</v>
      </c>
    </row>
    <row r="6" spans="1:9" x14ac:dyDescent="0.4">
      <c r="A6" t="s">
        <v>2</v>
      </c>
      <c r="B6" t="str">
        <f>LOWER(CONCATENATE("#", DEC2HEX(D6, 2), DEC2HEX(E6, 2), DEC2HEX(F6, 2)))</f>
        <v>#e2e8f0</v>
      </c>
      <c r="C6" s="6" t="str">
        <f>myRGB(D6,E6,F6)</f>
        <v/>
      </c>
      <c r="D6">
        <v>226</v>
      </c>
      <c r="E6">
        <v>232</v>
      </c>
      <c r="F6">
        <v>240</v>
      </c>
      <c r="G6">
        <f>GetHslFromRGB(D6,E6,F6, "H")</f>
        <v>214.28571428571428</v>
      </c>
      <c r="H6">
        <f>GetHslFromRGB(D6,E6,F6, "S")</f>
        <v>0.31818181818181823</v>
      </c>
      <c r="I6">
        <f>GetHslFromRGB(D6,E6,F6, "L")</f>
        <v>0.9137254901960784</v>
      </c>
    </row>
    <row r="7" spans="1:9" x14ac:dyDescent="0.4">
      <c r="A7" t="s">
        <v>3</v>
      </c>
      <c r="B7" t="str">
        <f>LOWER(CONCATENATE("#", DEC2HEX(D7, 2), DEC2HEX(E7, 2), DEC2HEX(F7, 2)))</f>
        <v>#cbd5e1</v>
      </c>
      <c r="C7" s="7" t="str">
        <f>myRGB(D7,E7,F7)</f>
        <v/>
      </c>
      <c r="D7">
        <v>203</v>
      </c>
      <c r="E7">
        <v>213</v>
      </c>
      <c r="F7">
        <v>225</v>
      </c>
      <c r="G7">
        <f>GetHslFromRGB(D7,E7,F7, "H")</f>
        <v>212.72727272727266</v>
      </c>
      <c r="H7">
        <f>GetHslFromRGB(D7,E7,F7, "S")</f>
        <v>0.26829268292682928</v>
      </c>
      <c r="I7">
        <f>GetHslFromRGB(D7,E7,F7, "L")</f>
        <v>0.83921568627450971</v>
      </c>
    </row>
    <row r="8" spans="1:9" x14ac:dyDescent="0.4">
      <c r="A8" t="s">
        <v>4</v>
      </c>
      <c r="B8" t="str">
        <f>LOWER(CONCATENATE("#", DEC2HEX(D8, 2), DEC2HEX(E8, 2), DEC2HEX(F8, 2)))</f>
        <v>#94a3b8</v>
      </c>
      <c r="C8" s="8" t="str">
        <f>myRGB(D8,E8,F8)</f>
        <v/>
      </c>
      <c r="D8">
        <v>148</v>
      </c>
      <c r="E8">
        <v>163</v>
      </c>
      <c r="F8">
        <v>184</v>
      </c>
      <c r="G8">
        <f>GetHslFromRGB(D8,E8,F8, "H")</f>
        <v>215.00000000000003</v>
      </c>
      <c r="H8">
        <f>GetHslFromRGB(D8,E8,F8, "S")</f>
        <v>0.20224719101123589</v>
      </c>
      <c r="I8">
        <f>GetHslFromRGB(D8,E8,F8, "L")</f>
        <v>0.65098039215686276</v>
      </c>
    </row>
    <row r="9" spans="1:9" x14ac:dyDescent="0.4">
      <c r="A9" t="s">
        <v>5</v>
      </c>
      <c r="B9" t="str">
        <f>LOWER(CONCATENATE("#", DEC2HEX(D9, 2), DEC2HEX(E9, 2), DEC2HEX(F9, 2)))</f>
        <v>#64748b</v>
      </c>
      <c r="C9" s="9" t="str">
        <f>myRGB(D9,E9,F9)</f>
        <v/>
      </c>
      <c r="D9">
        <v>100</v>
      </c>
      <c r="E9">
        <v>116</v>
      </c>
      <c r="F9">
        <v>139</v>
      </c>
      <c r="G9">
        <f>GetHslFromRGB(D9,E9,F9, "H")</f>
        <v>215.38461538461536</v>
      </c>
      <c r="H9">
        <f>GetHslFromRGB(D9,E9,F9, "S")</f>
        <v>0.16317991631799159</v>
      </c>
      <c r="I9">
        <f>GetHslFromRGB(D9,E9,F9, "L")</f>
        <v>0.46862745098039216</v>
      </c>
    </row>
    <row r="10" spans="1:9" x14ac:dyDescent="0.4">
      <c r="A10" t="s">
        <v>6</v>
      </c>
      <c r="B10" t="str">
        <f>LOWER(CONCATENATE("#", DEC2HEX(D10, 2), DEC2HEX(E10, 2), DEC2HEX(F10, 2)))</f>
        <v>#475569</v>
      </c>
      <c r="C10" s="10" t="str">
        <f>myRGB(D10,E10,F10)</f>
        <v/>
      </c>
      <c r="D10">
        <v>71</v>
      </c>
      <c r="E10">
        <v>85</v>
      </c>
      <c r="F10">
        <v>105</v>
      </c>
      <c r="G10">
        <f>GetHslFromRGB(D10,E10,F10, "H")</f>
        <v>215.29411764705884</v>
      </c>
      <c r="H10">
        <f>GetHslFromRGB(D10,E10,F10, "S")</f>
        <v>0.19318181818181815</v>
      </c>
      <c r="I10">
        <f>GetHslFromRGB(D10,E10,F10, "L")</f>
        <v>0.34509803921568627</v>
      </c>
    </row>
    <row r="11" spans="1:9" x14ac:dyDescent="0.4">
      <c r="A11" t="s">
        <v>7</v>
      </c>
      <c r="B11" t="str">
        <f>LOWER(CONCATENATE("#", DEC2HEX(D11, 2), DEC2HEX(E11, 2), DEC2HEX(F11, 2)))</f>
        <v>#334155</v>
      </c>
      <c r="C11" s="11" t="str">
        <f>myRGB(D11,E11,F11)</f>
        <v/>
      </c>
      <c r="D11">
        <v>51</v>
      </c>
      <c r="E11">
        <v>65</v>
      </c>
      <c r="F11">
        <v>85</v>
      </c>
      <c r="G11">
        <f>GetHslFromRGB(D11,E11,F11, "H")</f>
        <v>215.29411764705884</v>
      </c>
      <c r="H11">
        <f>GetHslFromRGB(D11,E11,F11, "S")</f>
        <v>0.24999999999999994</v>
      </c>
      <c r="I11">
        <f>GetHslFromRGB(D11,E11,F11, "L")</f>
        <v>0.26666666666666666</v>
      </c>
    </row>
    <row r="12" spans="1:9" x14ac:dyDescent="0.4">
      <c r="A12" t="s">
        <v>8</v>
      </c>
      <c r="B12" t="str">
        <f>LOWER(CONCATENATE("#", DEC2HEX(D12, 2), DEC2HEX(E12, 2), DEC2HEX(F12, 2)))</f>
        <v>#1e293b</v>
      </c>
      <c r="C12" s="18" t="str">
        <f>myRGB(D12,E12,F12)</f>
        <v/>
      </c>
      <c r="D12">
        <v>30</v>
      </c>
      <c r="E12">
        <v>41</v>
      </c>
      <c r="F12">
        <v>59</v>
      </c>
      <c r="G12">
        <f>GetHslFromRGB(D12,E12,F12, "H")</f>
        <v>217.24137931034483</v>
      </c>
      <c r="H12">
        <f>GetHslFromRGB(D12,E12,F12, "S")</f>
        <v>0.3258426966292135</v>
      </c>
      <c r="I12">
        <f>GetHslFromRGB(D12,E12,F12, "L")</f>
        <v>0.17450980392156862</v>
      </c>
    </row>
    <row r="13" spans="1:9" x14ac:dyDescent="0.4">
      <c r="A13" t="s">
        <v>9</v>
      </c>
      <c r="B13" t="str">
        <f>LOWER(CONCATENATE("#", DEC2HEX(D13, 2), DEC2HEX(E13, 2), DEC2HEX(F13, 2)))</f>
        <v>#0f172a</v>
      </c>
      <c r="C13" s="20" t="str">
        <f>myRGB(D13,E13,F13)</f>
        <v/>
      </c>
      <c r="D13">
        <v>15</v>
      </c>
      <c r="E13">
        <v>23</v>
      </c>
      <c r="F13">
        <v>42</v>
      </c>
      <c r="G13">
        <f>GetHslFromRGB(D13,E13,F13, "H")</f>
        <v>222.22222222222223</v>
      </c>
      <c r="H13">
        <f>GetHslFromRGB(D13,E13,F13, "S")</f>
        <v>0.47368421052631576</v>
      </c>
      <c r="I13">
        <f>GetHslFromRGB(D13,E13,F13, "L")</f>
        <v>0.11176470588235293</v>
      </c>
    </row>
    <row r="14" spans="1:9" x14ac:dyDescent="0.4">
      <c r="C14" s="43" t="str">
        <f>myRGB(D14,E14,F14)</f>
        <v/>
      </c>
    </row>
    <row r="15" spans="1:9" x14ac:dyDescent="0.4">
      <c r="A15" t="s">
        <v>16</v>
      </c>
      <c r="B15" t="str">
        <f>LOWER(CONCATENATE("#", DEC2HEX(D15, 2), DEC2HEX(E15, 2), DEC2HEX(F15, 2)))</f>
        <v>#464d77</v>
      </c>
      <c r="C15" s="1" t="str">
        <f>myRGB(D15,E15,F15)</f>
        <v/>
      </c>
      <c r="D15">
        <v>70</v>
      </c>
      <c r="E15">
        <v>77</v>
      </c>
      <c r="F15">
        <v>119</v>
      </c>
      <c r="G15">
        <f>GetHslFromRGB(D15,E15,F15, "H")</f>
        <v>231.42857142857144</v>
      </c>
      <c r="H15">
        <f>GetHslFromRGB(D15,E15,F15, "S")</f>
        <v>0.25925925925925924</v>
      </c>
      <c r="I15">
        <f>GetHslFromRGB(D15,E15,F15, "L")</f>
        <v>0.37058823529411766</v>
      </c>
    </row>
    <row r="16" spans="1:9" x14ac:dyDescent="0.4">
      <c r="C16" s="43" t="str">
        <f>myRGB(D16,E16,F16)</f>
        <v/>
      </c>
    </row>
    <row r="17" spans="1:9" x14ac:dyDescent="0.4">
      <c r="A17" t="s">
        <v>17</v>
      </c>
      <c r="B17" t="str">
        <f>LOWER(CONCATENATE("#", DEC2HEX(D17, 2), DEC2HEX(E17, 2), DEC2HEX(F17, 2)))</f>
        <v>#f9f9fb</v>
      </c>
      <c r="C17" s="4" t="str">
        <f>myRGB(D17,E17,F17)</f>
        <v/>
      </c>
      <c r="D17">
        <f>GetRGBFromHSL(G17,H17,I17,"R")</f>
        <v>249</v>
      </c>
      <c r="E17">
        <f>GetRGBFromHSL(G17,H17,I17,"G")</f>
        <v>249</v>
      </c>
      <c r="F17">
        <f>GetRGBFromHSL(G17,H17,I17,"B")</f>
        <v>251</v>
      </c>
      <c r="G17">
        <f>G$15</f>
        <v>231.42857142857144</v>
      </c>
      <c r="H17">
        <f>H$15</f>
        <v>0.25925925925925924</v>
      </c>
      <c r="I17">
        <f>I$4+(I4-I$4)/(I$11-I$4)*(I$15-I$4)</f>
        <v>0.98039215686274517</v>
      </c>
    </row>
    <row r="18" spans="1:9" x14ac:dyDescent="0.4">
      <c r="A18" t="s">
        <v>18</v>
      </c>
      <c r="B18" t="str">
        <f>LOWER(CONCATENATE("#", DEC2HEX(D18, 2), DEC2HEX(E18, 2), DEC2HEX(F18, 2)))</f>
        <v>#f3f4f8</v>
      </c>
      <c r="C18" s="17" t="str">
        <f>myRGB(D18,E18,F18)</f>
        <v/>
      </c>
      <c r="D18">
        <f>GetRGBFromHSL(G18,H18,I18,"R")</f>
        <v>243</v>
      </c>
      <c r="E18">
        <f>GetRGBFromHSL(G18,H18,I18,"G")</f>
        <v>244</v>
      </c>
      <c r="F18">
        <f>GetRGBFromHSL(G18,H18,I18,"B")</f>
        <v>248</v>
      </c>
      <c r="G18">
        <f>G$15</f>
        <v>231.42857142857144</v>
      </c>
      <c r="H18">
        <f>H$15</f>
        <v>0.25925925925925924</v>
      </c>
      <c r="I18">
        <f>I$4+(I5-I$4)/(I$11-I$4)*(I$15-I$4)</f>
        <v>0.9636393018745959</v>
      </c>
    </row>
    <row r="19" spans="1:9" x14ac:dyDescent="0.4">
      <c r="A19" t="s">
        <v>19</v>
      </c>
      <c r="B19" t="str">
        <f>LOWER(CONCATENATE("#", DEC2HEX(D19, 2), DEC2HEX(E19, 2), DEC2HEX(F19, 2)))</f>
        <v>#e6e8f1</v>
      </c>
      <c r="C19" s="13" t="str">
        <f>myRGB(D19,E19,F19)</f>
        <v/>
      </c>
      <c r="D19">
        <f>GetRGBFromHSL(G19,H19,I19,"R")</f>
        <v>230</v>
      </c>
      <c r="E19">
        <f>GetRGBFromHSL(G19,H19,I19,"G")</f>
        <v>232</v>
      </c>
      <c r="F19">
        <f>GetRGBFromHSL(G19,H19,I19,"B")</f>
        <v>241</v>
      </c>
      <c r="G19">
        <f>G$15</f>
        <v>231.42857142857144</v>
      </c>
      <c r="H19">
        <f>H$15</f>
        <v>0.25925925925925924</v>
      </c>
      <c r="I19">
        <f>I$4+(I6-I$4)/(I$11-I$4)*(I$15-I$4)</f>
        <v>0.92343244990303819</v>
      </c>
    </row>
    <row r="20" spans="1:9" x14ac:dyDescent="0.4">
      <c r="A20" t="s">
        <v>20</v>
      </c>
      <c r="B20" t="str">
        <f>LOWER(CONCATENATE("#", DEC2HEX(D20, 2), DEC2HEX(E20, 2), DEC2HEX(F20, 2)))</f>
        <v>#d2d5e5</v>
      </c>
      <c r="C20" s="14" t="str">
        <f>myRGB(D20,E20,F20)</f>
        <v/>
      </c>
      <c r="D20">
        <f>GetRGBFromHSL(G20,H20,I20,"R")</f>
        <v>210</v>
      </c>
      <c r="E20">
        <f>GetRGBFromHSL(G20,H20,I20,"G")</f>
        <v>213</v>
      </c>
      <c r="F20">
        <f>GetRGBFromHSL(G20,H20,I20,"B")</f>
        <v>229</v>
      </c>
      <c r="G20">
        <f>G$15</f>
        <v>231.42857142857144</v>
      </c>
      <c r="H20">
        <f>H$15</f>
        <v>0.25925925925925924</v>
      </c>
      <c r="I20">
        <f>I$4+(I7-I$4)/(I$11-I$4)*(I$15-I$4)</f>
        <v>0.85977160094807148</v>
      </c>
    </row>
    <row r="21" spans="1:9" x14ac:dyDescent="0.4">
      <c r="A21" t="s">
        <v>21</v>
      </c>
      <c r="B21" t="str">
        <f>LOWER(CONCATENATE("#", DEC2HEX(D21, 2), DEC2HEX(E21, 2), DEC2HEX(F21, 2)))</f>
        <v>#9ea4c6</v>
      </c>
      <c r="C21" s="15" t="str">
        <f>myRGB(D21,E21,F21)</f>
        <v/>
      </c>
      <c r="D21">
        <f>GetRGBFromHSL(G21,H21,I21,"R")</f>
        <v>158</v>
      </c>
      <c r="E21">
        <f>GetRGBFromHSL(G21,H21,I21,"G")</f>
        <v>164</v>
      </c>
      <c r="F21">
        <f>GetRGBFromHSL(G21,H21,I21,"B")</f>
        <v>198</v>
      </c>
      <c r="G21">
        <f>G$15</f>
        <v>231.42857142857144</v>
      </c>
      <c r="H21">
        <f>H$15</f>
        <v>0.25925925925925924</v>
      </c>
      <c r="I21">
        <f>I$4+(I8-I$4)/(I$11-I$4)*(I$15-I$4)</f>
        <v>0.69894419306184019</v>
      </c>
    </row>
    <row r="22" spans="1:9" x14ac:dyDescent="0.4">
      <c r="A22" t="s">
        <v>22</v>
      </c>
      <c r="B22" t="str">
        <f>LOWER(CONCATENATE("#", DEC2HEX(D22, 2), DEC2HEX(E22, 2), DEC2HEX(F22, 2)))</f>
        <v>#6c75a9</v>
      </c>
      <c r="C22" s="12" t="str">
        <f>myRGB(D22,E22,F22)</f>
        <v/>
      </c>
      <c r="D22">
        <f>GetRGBFromHSL(G22,H22,I22,"R")</f>
        <v>108</v>
      </c>
      <c r="E22">
        <f>GetRGBFromHSL(G22,H22,I22,"G")</f>
        <v>117</v>
      </c>
      <c r="F22">
        <f>GetRGBFromHSL(G22,H22,I22,"B")</f>
        <v>169</v>
      </c>
      <c r="G22">
        <f>G$15</f>
        <v>231.42857142857144</v>
      </c>
      <c r="H22">
        <f>H$15</f>
        <v>0.25925925925925924</v>
      </c>
      <c r="I22">
        <f>I$4+(I9-I$4)/(I$11-I$4)*(I$15-I$4)</f>
        <v>0.54314264167205351</v>
      </c>
    </row>
    <row r="23" spans="1:9" x14ac:dyDescent="0.4">
      <c r="A23" t="s">
        <v>23</v>
      </c>
      <c r="B23" t="str">
        <f>LOWER(CONCATENATE("#", DEC2HEX(D23, 2), DEC2HEX(E23, 2), DEC2HEX(F23, 2)))</f>
        <v>#535b8d</v>
      </c>
      <c r="C23" s="16" t="str">
        <f>myRGB(D23,E23,F23)</f>
        <v/>
      </c>
      <c r="D23">
        <f>GetRGBFromHSL(G23,H23,I23,"R")</f>
        <v>83</v>
      </c>
      <c r="E23">
        <f>GetRGBFromHSL(G23,H23,I23,"G")</f>
        <v>91</v>
      </c>
      <c r="F23">
        <f>GetRGBFromHSL(G23,H23,I23,"B")</f>
        <v>141</v>
      </c>
      <c r="G23">
        <f>G$15</f>
        <v>231.42857142857144</v>
      </c>
      <c r="H23">
        <f>H$15</f>
        <v>0.25925925925925924</v>
      </c>
      <c r="I23">
        <f>I$4+(I10-I$4)/(I$11-I$4)*(I$15-I$4)</f>
        <v>0.43759965524671407</v>
      </c>
    </row>
    <row r="24" spans="1:9" x14ac:dyDescent="0.4">
      <c r="A24" t="s">
        <v>16</v>
      </c>
      <c r="B24" t="str">
        <f>LOWER(CONCATENATE("#", DEC2HEX(D24, 2), DEC2HEX(E24, 2), DEC2HEX(F24, 2)))</f>
        <v>#464d77</v>
      </c>
      <c r="C24" s="1" t="str">
        <f>myRGB(D24,E24,F24)</f>
        <v/>
      </c>
      <c r="D24">
        <f>GetRGBFromHSL(G24,H24,I24,"R")</f>
        <v>70</v>
      </c>
      <c r="E24">
        <f>GetRGBFromHSL(G24,H24,I24,"G")</f>
        <v>77</v>
      </c>
      <c r="F24">
        <f>GetRGBFromHSL(G24,H24,I24,"B")</f>
        <v>119</v>
      </c>
      <c r="G24">
        <f>G$15</f>
        <v>231.42857142857144</v>
      </c>
      <c r="H24">
        <f>H$15</f>
        <v>0.25925925925925924</v>
      </c>
      <c r="I24">
        <f>I$4+(I11-I$4)/(I$11-I$4)*(I$15-I$4)</f>
        <v>0.37058823529411766</v>
      </c>
    </row>
    <row r="25" spans="1:9" x14ac:dyDescent="0.4">
      <c r="A25" t="s">
        <v>24</v>
      </c>
      <c r="B25" t="str">
        <f>LOWER(CONCATENATE("#", DEC2HEX(D25, 2), DEC2HEX(E25, 2), DEC2HEX(F25, 2)))</f>
        <v>#373c5e</v>
      </c>
      <c r="C25" s="19" t="str">
        <f>myRGB(D25,E25,F25)</f>
        <v/>
      </c>
      <c r="D25">
        <f>GetRGBFromHSL(G25,H25,I25,"R")</f>
        <v>55</v>
      </c>
      <c r="E25">
        <f>GetRGBFromHSL(G25,H25,I25,"G")</f>
        <v>60</v>
      </c>
      <c r="F25">
        <f>GetRGBFromHSL(G25,H25,I25,"B")</f>
        <v>94</v>
      </c>
      <c r="G25">
        <f>G$15</f>
        <v>231.42857142857144</v>
      </c>
      <c r="H25">
        <f>H$15</f>
        <v>0.25925925925925924</v>
      </c>
      <c r="I25">
        <f>I$4+(I12-I$4)/(I$11-I$4)*(I$15-I$4)</f>
        <v>0.29184981684981703</v>
      </c>
    </row>
    <row r="26" spans="1:9" x14ac:dyDescent="0.4">
      <c r="A26" t="s">
        <v>25</v>
      </c>
      <c r="B26" t="str">
        <f>LOWER(CONCATENATE("#", DEC2HEX(D26, 2), DEC2HEX(E26, 2), DEC2HEX(F26, 2)))</f>
        <v>#2d314d</v>
      </c>
      <c r="C26" s="21" t="str">
        <f>myRGB(D26,E26,F26)</f>
        <v/>
      </c>
      <c r="D26">
        <f>GetRGBFromHSL(G26,H26,I26,"R")</f>
        <v>45</v>
      </c>
      <c r="E26">
        <f>GetRGBFromHSL(G26,H26,I26,"G")</f>
        <v>49</v>
      </c>
      <c r="F26">
        <f>GetRGBFromHSL(G26,H26,I26,"B")</f>
        <v>77</v>
      </c>
      <c r="G26">
        <f>G$15</f>
        <v>231.42857142857144</v>
      </c>
      <c r="H26">
        <f>H$15</f>
        <v>0.25925925925925924</v>
      </c>
      <c r="I26">
        <f>I$4+(I13-I$4)/(I$11-I$4)*(I$15-I$4)</f>
        <v>0.23824068088773975</v>
      </c>
    </row>
    <row r="27" spans="1:9" x14ac:dyDescent="0.4">
      <c r="C27" s="43"/>
    </row>
    <row r="28" spans="1:9" x14ac:dyDescent="0.4">
      <c r="A28" t="s">
        <v>26</v>
      </c>
      <c r="B28" t="str">
        <f>LOWER(CONCATENATE("#", DEC2HEX(D28, 2), DEC2HEX(E28, 2), DEC2HEX(F28, 2)))</f>
        <v>#4c5171</v>
      </c>
      <c r="C28" s="22" t="str">
        <f>myRGB(D28,E28,F28)</f>
        <v/>
      </c>
      <c r="D28">
        <f>GetRGBFromHSL(G28,H28,I28,"R")</f>
        <v>76</v>
      </c>
      <c r="E28">
        <f>GetRGBFromHSL(G28,H28,I28,"G")</f>
        <v>81</v>
      </c>
      <c r="F28">
        <f>GetRGBFromHSL(G28,H28,I28,"B")</f>
        <v>113</v>
      </c>
      <c r="G28">
        <v>231.42857142857144</v>
      </c>
      <c r="H28">
        <v>0.2</v>
      </c>
      <c r="I28">
        <v>0.37058799999999997</v>
      </c>
    </row>
    <row r="29" spans="1:9" x14ac:dyDescent="0.4">
      <c r="C29" s="43"/>
    </row>
    <row r="30" spans="1:9" x14ac:dyDescent="0.4">
      <c r="A30" t="s">
        <v>27</v>
      </c>
      <c r="B30" t="str">
        <f>LOWER(CONCATENATE("#", DEC2HEX(D30, 2), DEC2HEX(E30, 2), DEC2HEX(F30, 2)))</f>
        <v>#f9f9fb</v>
      </c>
      <c r="C30" s="4" t="str">
        <f>myRGB(D30,E30,F30)</f>
        <v/>
      </c>
      <c r="D30">
        <f>GetRGBFromHSL(G30,H30,I30,"R")</f>
        <v>249</v>
      </c>
      <c r="E30">
        <f>GetRGBFromHSL(G30,H30,I30,"G")</f>
        <v>249</v>
      </c>
      <c r="F30">
        <f>GetRGBFromHSL(G30,H30,I30,"B")</f>
        <v>251</v>
      </c>
      <c r="G30">
        <f>G$28</f>
        <v>231.42857142857144</v>
      </c>
      <c r="H30">
        <f>H$28</f>
        <v>0.2</v>
      </c>
      <c r="I30">
        <f>I$4+(I4-I$4)/(I$11-I$4)*(I$28-I$4)</f>
        <v>0.98039215686274517</v>
      </c>
    </row>
    <row r="31" spans="1:9" x14ac:dyDescent="0.4">
      <c r="A31" t="s">
        <v>28</v>
      </c>
      <c r="B31" t="str">
        <f>LOWER(CONCATENATE("#", DEC2HEX(D31, 2), DEC2HEX(E31, 2), DEC2HEX(F31, 2)))</f>
        <v>#f4f4f8</v>
      </c>
      <c r="C31" s="23" t="str">
        <f>myRGB(D31,E31,F31)</f>
        <v/>
      </c>
      <c r="D31">
        <f>GetRGBFromHSL(G31,H31,I31,"R")</f>
        <v>244</v>
      </c>
      <c r="E31">
        <f>GetRGBFromHSL(G31,H31,I31,"G")</f>
        <v>244</v>
      </c>
      <c r="F31">
        <f>GetRGBFromHSL(G31,H31,I31,"B")</f>
        <v>248</v>
      </c>
      <c r="G31">
        <f>G$28</f>
        <v>231.42857142857144</v>
      </c>
      <c r="H31">
        <f>H$28</f>
        <v>0.2</v>
      </c>
      <c r="I31">
        <f>I$4+(I5-I$4)/(I$11-I$4)*(I$28-I$4)</f>
        <v>0.96363929541047177</v>
      </c>
    </row>
    <row r="32" spans="1:9" x14ac:dyDescent="0.4">
      <c r="A32" t="s">
        <v>29</v>
      </c>
      <c r="B32" t="str">
        <f>LOWER(CONCATENATE("#", DEC2HEX(D32, 2), DEC2HEX(E32, 2), DEC2HEX(F32, 2)))</f>
        <v>#e8e9ef</v>
      </c>
      <c r="C32" s="28" t="str">
        <f>myRGB(D32,E32,F32)</f>
        <v/>
      </c>
      <c r="D32">
        <f>GetRGBFromHSL(G32,H32,I32,"R")</f>
        <v>232</v>
      </c>
      <c r="E32">
        <f>GetRGBFromHSL(G32,H32,I32,"G")</f>
        <v>233</v>
      </c>
      <c r="F32">
        <f>GetRGBFromHSL(G32,H32,I32,"B")</f>
        <v>239</v>
      </c>
      <c r="G32">
        <f>G$28</f>
        <v>231.42857142857144</v>
      </c>
      <c r="H32">
        <f>H$28</f>
        <v>0.2</v>
      </c>
      <c r="I32">
        <f>I$4+(I6-I$4)/(I$11-I$4)*(I$28-I$4)</f>
        <v>0.92343242792501612</v>
      </c>
    </row>
    <row r="33" spans="1:14" x14ac:dyDescent="0.4">
      <c r="A33" t="s">
        <v>30</v>
      </c>
      <c r="B33" t="str">
        <f>LOWER(CONCATENATE("#", DEC2HEX(D33, 2), DEC2HEX(E33, 2), DEC2HEX(F33, 2)))</f>
        <v>#d4d6e2</v>
      </c>
      <c r="C33" s="24" t="str">
        <f>myRGB(D33,E33,F33)</f>
        <v/>
      </c>
      <c r="D33">
        <f>GetRGBFromHSL(G33,H33,I33,"R")</f>
        <v>212</v>
      </c>
      <c r="E33">
        <f>GetRGBFromHSL(G33,H33,I33,"G")</f>
        <v>214</v>
      </c>
      <c r="F33">
        <f>GetRGBFromHSL(G33,H33,I33,"B")</f>
        <v>226</v>
      </c>
      <c r="G33">
        <f>G$28</f>
        <v>231.42857142857144</v>
      </c>
      <c r="H33">
        <f>H$28</f>
        <v>0.2</v>
      </c>
      <c r="I33">
        <f>I$4+(I7-I$4)/(I$11-I$4)*(I$28-I$4)</f>
        <v>0.85977155440637787</v>
      </c>
    </row>
    <row r="34" spans="1:14" x14ac:dyDescent="0.4">
      <c r="A34" t="s">
        <v>31</v>
      </c>
      <c r="B34" t="str">
        <f>LOWER(CONCATENATE("#", DEC2HEX(D34, 2), DEC2HEX(E34, 2), DEC2HEX(F34, 2)))</f>
        <v>#a3a7c2</v>
      </c>
      <c r="C34" s="30" t="str">
        <f>myRGB(D34,E34,F34)</f>
        <v/>
      </c>
      <c r="D34">
        <f>GetRGBFromHSL(G34,H34,I34,"R")</f>
        <v>163</v>
      </c>
      <c r="E34">
        <f>GetRGBFromHSL(G34,H34,I34,"G")</f>
        <v>167</v>
      </c>
      <c r="F34">
        <f>GetRGBFromHSL(G34,H34,I34,"B")</f>
        <v>194</v>
      </c>
      <c r="G34">
        <f>G$28</f>
        <v>231.42857142857144</v>
      </c>
      <c r="H34">
        <f>H$28</f>
        <v>0.2</v>
      </c>
      <c r="I34">
        <f>I$4+(I8-I$4)/(I$11-I$4)*(I$28-I$4)</f>
        <v>0.69894408446455514</v>
      </c>
    </row>
    <row r="35" spans="1:14" x14ac:dyDescent="0.4">
      <c r="A35" t="s">
        <v>32</v>
      </c>
      <c r="B35" t="str">
        <f>LOWER(CONCATENATE("#", DEC2HEX(D35, 2), DEC2HEX(E35, 2), DEC2HEX(F35, 2)))</f>
        <v>#737aa2</v>
      </c>
      <c r="C35" s="26" t="str">
        <f>myRGB(D35,E35,F35)</f>
        <v/>
      </c>
      <c r="D35">
        <f>GetRGBFromHSL(G35,H35,I35,"R")</f>
        <v>115</v>
      </c>
      <c r="E35">
        <f>GetRGBFromHSL(G35,H35,I35,"G")</f>
        <v>122</v>
      </c>
      <c r="F35">
        <f>GetRGBFromHSL(G35,H35,I35,"B")</f>
        <v>162</v>
      </c>
      <c r="G35">
        <f>G$28</f>
        <v>231.42857142857144</v>
      </c>
      <c r="H35">
        <f>H$28</f>
        <v>0.2</v>
      </c>
      <c r="I35">
        <f>I$4+(I9-I$4)/(I$11-I$4)*(I$28-I$4)</f>
        <v>0.54314247295841411</v>
      </c>
    </row>
    <row r="36" spans="1:14" x14ac:dyDescent="0.4">
      <c r="A36" t="s">
        <v>33</v>
      </c>
      <c r="B36" t="str">
        <f>LOWER(CONCATENATE("#", DEC2HEX(D36, 2), DEC2HEX(E36, 2), DEC2HEX(F36, 2)))</f>
        <v>#595f86</v>
      </c>
      <c r="C36" s="25" t="str">
        <f>myRGB(D36,E36,F36)</f>
        <v/>
      </c>
      <c r="D36">
        <f>GetRGBFromHSL(G36,H36,I36,"R")</f>
        <v>89</v>
      </c>
      <c r="E36">
        <f>GetRGBFromHSL(G36,H36,I36,"G")</f>
        <v>95</v>
      </c>
      <c r="F36">
        <f>GetRGBFromHSL(G36,H36,I36,"B")</f>
        <v>134</v>
      </c>
      <c r="G36">
        <f>G$28</f>
        <v>231.42857142857144</v>
      </c>
      <c r="H36">
        <f>H$28</f>
        <v>0.2</v>
      </c>
      <c r="I36">
        <f>I$4+(I10-I$4)/(I$11-I$4)*(I$28-I$4)</f>
        <v>0.43759944580909282</v>
      </c>
    </row>
    <row r="37" spans="1:14" x14ac:dyDescent="0.4">
      <c r="A37" t="s">
        <v>26</v>
      </c>
      <c r="B37" t="str">
        <f>LOWER(CONCATENATE("#", DEC2HEX(D37, 2), DEC2HEX(E37, 2), DEC2HEX(F37, 2)))</f>
        <v>#4c5171</v>
      </c>
      <c r="C37" s="22" t="str">
        <f>myRGB(D37,E37,F37)</f>
        <v/>
      </c>
      <c r="D37">
        <f>GetRGBFromHSL(G37,H37,I37,"R")</f>
        <v>76</v>
      </c>
      <c r="E37">
        <f>GetRGBFromHSL(G37,H37,I37,"G")</f>
        <v>81</v>
      </c>
      <c r="F37">
        <f>GetRGBFromHSL(G37,H37,I37,"B")</f>
        <v>113</v>
      </c>
      <c r="G37">
        <f>G$28</f>
        <v>231.42857142857144</v>
      </c>
      <c r="H37">
        <f>H$28</f>
        <v>0.2</v>
      </c>
      <c r="I37">
        <f>I$4+(I11-I$4)/(I$11-I$4)*(I$28-I$4)</f>
        <v>0.37058799999999992</v>
      </c>
    </row>
    <row r="38" spans="1:14" x14ac:dyDescent="0.4">
      <c r="A38" t="s">
        <v>34</v>
      </c>
      <c r="B38" t="str">
        <f>LOWER(CONCATENATE("#", DEC2HEX(D38, 2), DEC2HEX(E38, 2), DEC2HEX(F38, 2)))</f>
        <v>#3c4059</v>
      </c>
      <c r="C38" s="27" t="str">
        <f>myRGB(D38,E38,F38)</f>
        <v/>
      </c>
      <c r="D38">
        <f>GetRGBFromHSL(G38,H38,I38,"R")</f>
        <v>60</v>
      </c>
      <c r="E38">
        <f>GetRGBFromHSL(G38,H38,I38,"G")</f>
        <v>64</v>
      </c>
      <c r="F38">
        <f>GetRGBFromHSL(G38,H38,I38,"B")</f>
        <v>89</v>
      </c>
      <c r="G38">
        <f>G$28</f>
        <v>231.42857142857144</v>
      </c>
      <c r="H38">
        <f>H$28</f>
        <v>0.2</v>
      </c>
      <c r="I38">
        <f>I$4+(I12-I$4)/(I$11-I$4)*(I$28-I$4)</f>
        <v>0.29184955117431588</v>
      </c>
    </row>
    <row r="39" spans="1:14" x14ac:dyDescent="0.4">
      <c r="A39" t="s">
        <v>35</v>
      </c>
      <c r="B39" t="str">
        <f>LOWER(CONCATENATE("#", DEC2HEX(D39, 2), DEC2HEX(E39, 2), DEC2HEX(F39, 2)))</f>
        <v>#313449</v>
      </c>
      <c r="C39" s="29" t="str">
        <f>myRGB(D39,E39,F39)</f>
        <v/>
      </c>
      <c r="D39">
        <f>GetRGBFromHSL(G39,H39,I39,"R")</f>
        <v>49</v>
      </c>
      <c r="E39">
        <f>GetRGBFromHSL(G39,H39,I39,"G")</f>
        <v>52</v>
      </c>
      <c r="F39">
        <f>GetRGBFromHSL(G39,H39,I39,"B")</f>
        <v>73</v>
      </c>
      <c r="G39">
        <f>G$28</f>
        <v>231.42857142857144</v>
      </c>
      <c r="H39">
        <f>H$28</f>
        <v>0.2</v>
      </c>
      <c r="I39">
        <f>I$4+(I13-I$4)/(I$11-I$4)*(I$28-I$4)</f>
        <v>0.23824039452704149</v>
      </c>
    </row>
    <row r="41" spans="1:14" x14ac:dyDescent="0.4">
      <c r="L41" s="3" t="str">
        <f>C4</f>
        <v/>
      </c>
      <c r="M41" s="4" t="str">
        <f>myRGB(D17,E17,F17)</f>
        <v/>
      </c>
      <c r="N41" s="4" t="str">
        <f>myRGB(D30,E30,F30)</f>
        <v/>
      </c>
    </row>
    <row r="42" spans="1:14" x14ac:dyDescent="0.4">
      <c r="L42" s="5" t="str">
        <f>myRGB(D5,E5,F5)</f>
        <v/>
      </c>
      <c r="M42" s="17" t="str">
        <f>myRGB(D18,E18,F18)</f>
        <v/>
      </c>
      <c r="N42" s="23" t="str">
        <f>myRGB(D31,E31,F31)</f>
        <v/>
      </c>
    </row>
    <row r="43" spans="1:14" x14ac:dyDescent="0.4">
      <c r="L43" s="6" t="str">
        <f>myRGB(D6,E6,F6)</f>
        <v/>
      </c>
      <c r="M43" s="13" t="str">
        <f>myRGB(D19,E19,F19)</f>
        <v/>
      </c>
      <c r="N43" s="28" t="str">
        <f>myRGB(D32,E32,F32)</f>
        <v/>
      </c>
    </row>
    <row r="44" spans="1:14" x14ac:dyDescent="0.4">
      <c r="L44" s="7" t="str">
        <f>myRGB(D7,E7,F7)</f>
        <v/>
      </c>
      <c r="M44" s="14" t="str">
        <f>myRGB(D20,E20,F20)</f>
        <v/>
      </c>
      <c r="N44" s="24" t="str">
        <f>myRGB(D33,E33,F33)</f>
        <v/>
      </c>
    </row>
    <row r="45" spans="1:14" x14ac:dyDescent="0.4">
      <c r="L45" s="8" t="str">
        <f>myRGB(D8,E8,F8)</f>
        <v/>
      </c>
      <c r="M45" s="15" t="str">
        <f>myRGB(D21,E21,F21)</f>
        <v/>
      </c>
      <c r="N45" s="30" t="str">
        <f>myRGB(D34,E34,F34)</f>
        <v/>
      </c>
    </row>
    <row r="46" spans="1:14" x14ac:dyDescent="0.4">
      <c r="L46" s="9" t="str">
        <f>myRGB(D9,E9,F9)</f>
        <v/>
      </c>
      <c r="M46" s="12" t="str">
        <f>myRGB(D22,E22,F22)</f>
        <v/>
      </c>
      <c r="N46" s="26" t="str">
        <f>myRGB(D35,E35,F35)</f>
        <v/>
      </c>
    </row>
    <row r="47" spans="1:14" x14ac:dyDescent="0.4">
      <c r="L47" s="10" t="str">
        <f>myRGB(D10,E10,F10)</f>
        <v/>
      </c>
      <c r="M47" s="16" t="str">
        <f>myRGB(D23,E23,F23)</f>
        <v/>
      </c>
      <c r="N47" s="25" t="str">
        <f>myRGB(D36,E36,F36)</f>
        <v/>
      </c>
    </row>
    <row r="48" spans="1:14" x14ac:dyDescent="0.4">
      <c r="J48" s="31" t="str">
        <f>myRGB(255,45,85)</f>
        <v/>
      </c>
      <c r="L48" s="11" t="str">
        <f>myRGB(D11,E11,F11)</f>
        <v/>
      </c>
      <c r="M48" s="1" t="str">
        <f>myRGB(D24,E24,F24)</f>
        <v/>
      </c>
      <c r="N48" s="22" t="str">
        <f>myRGB(D37,E37,F37)</f>
        <v/>
      </c>
    </row>
    <row r="49" spans="10:14" x14ac:dyDescent="0.4">
      <c r="J49" s="32" t="str">
        <f>myRGB(254,128,32)</f>
        <v/>
      </c>
      <c r="L49" s="18" t="str">
        <f>myRGB(D12,E12,F12)</f>
        <v/>
      </c>
      <c r="M49" s="19" t="str">
        <f>myRGB(D25,E25,F25)</f>
        <v/>
      </c>
      <c r="N49" s="27" t="str">
        <f>myRGB(D38,E38,F38)</f>
        <v/>
      </c>
    </row>
    <row r="50" spans="10:14" x14ac:dyDescent="0.4">
      <c r="L50" s="20" t="str">
        <f>myRGB(D13,E13,F13)</f>
        <v/>
      </c>
      <c r="M50" s="21" t="str">
        <f>myRGB(D26,E26,F26)</f>
        <v/>
      </c>
      <c r="N50" s="29" t="str">
        <f>myRGB(D39,E39,F39)</f>
        <v/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3215A-9D4C-4D70-BEF0-E318FB534D35}">
  <dimension ref="A1:P50"/>
  <sheetViews>
    <sheetView tabSelected="1" topLeftCell="A7" workbookViewId="0">
      <selection activeCell="G24" sqref="G24"/>
    </sheetView>
  </sheetViews>
  <sheetFormatPr defaultRowHeight="14.6" x14ac:dyDescent="0.4"/>
  <cols>
    <col min="4" max="6" width="3.84375" bestFit="1" customWidth="1"/>
  </cols>
  <sheetData>
    <row r="1" spans="1:9" x14ac:dyDescent="0.4">
      <c r="D1" t="s">
        <v>13</v>
      </c>
      <c r="E1" t="s">
        <v>14</v>
      </c>
      <c r="F1" t="s">
        <v>15</v>
      </c>
      <c r="G1" t="s">
        <v>10</v>
      </c>
      <c r="H1" t="s">
        <v>11</v>
      </c>
      <c r="I1" t="s">
        <v>12</v>
      </c>
    </row>
    <row r="2" spans="1:9" x14ac:dyDescent="0.4">
      <c r="A2" t="s">
        <v>36</v>
      </c>
      <c r="B2" t="str">
        <f>LOWER(CONCATENATE("#", DEC2HEX(D2, 2), DEC2HEX(E2, 2), DEC2HEX(F2, 2)))</f>
        <v>#fef2f2</v>
      </c>
      <c r="C2" s="33" t="str">
        <f>myRGB(D2,E2,F2)</f>
        <v/>
      </c>
      <c r="D2">
        <v>254</v>
      </c>
      <c r="E2">
        <v>242</v>
      </c>
      <c r="F2">
        <v>242</v>
      </c>
      <c r="G2">
        <f>GetHslFromRGB(D2,E2,F2, "H")</f>
        <v>0</v>
      </c>
      <c r="H2">
        <f>GetHslFromRGB(D2,E2,F2, "S")</f>
        <v>0.85714285714285776</v>
      </c>
      <c r="I2">
        <f>GetHslFromRGB(D2,E2,F2, "L")</f>
        <v>0.97254901960784312</v>
      </c>
    </row>
    <row r="3" spans="1:9" x14ac:dyDescent="0.4">
      <c r="A3" t="s">
        <v>37</v>
      </c>
      <c r="B3" t="str">
        <f>LOWER(CONCATENATE("#", DEC2HEX(D3, 2), DEC2HEX(E3, 2), DEC2HEX(F3, 2)))</f>
        <v>#fee2e2</v>
      </c>
      <c r="C3" s="34" t="str">
        <f>myRGB(D3,E3,F3)</f>
        <v/>
      </c>
      <c r="D3">
        <v>254</v>
      </c>
      <c r="E3">
        <v>226</v>
      </c>
      <c r="F3">
        <v>226</v>
      </c>
      <c r="G3">
        <f>GetHslFromRGB(D3,E3,F3, "H")</f>
        <v>0</v>
      </c>
      <c r="H3">
        <f>GetHslFromRGB(D3,E3,F3, "S")</f>
        <v>0.93333333333333357</v>
      </c>
      <c r="I3">
        <f>GetHslFromRGB(D3,E3,F3, "L")</f>
        <v>0.94117647058823528</v>
      </c>
    </row>
    <row r="4" spans="1:9" x14ac:dyDescent="0.4">
      <c r="A4" t="s">
        <v>38</v>
      </c>
      <c r="B4" t="str">
        <f>LOWER(CONCATENATE("#", DEC2HEX(D4, 2), DEC2HEX(E4, 2), DEC2HEX(F4, 2)))</f>
        <v>#fecaca</v>
      </c>
      <c r="C4" s="35" t="str">
        <f>myRGB(D4,E4,F4)</f>
        <v/>
      </c>
      <c r="D4">
        <v>254</v>
      </c>
      <c r="E4">
        <v>202</v>
      </c>
      <c r="F4">
        <v>202</v>
      </c>
      <c r="G4">
        <f>GetHslFromRGB(D4,E4,F4, "H")</f>
        <v>0</v>
      </c>
      <c r="H4">
        <f>GetHslFromRGB(D4,E4,F4, "S")</f>
        <v>0.96296296296296313</v>
      </c>
      <c r="I4">
        <f>GetHslFromRGB(D4,E4,F4, "L")</f>
        <v>0.89411764705882346</v>
      </c>
    </row>
    <row r="5" spans="1:9" x14ac:dyDescent="0.4">
      <c r="A5" t="s">
        <v>39</v>
      </c>
      <c r="B5" t="str">
        <f>LOWER(CONCATENATE("#", DEC2HEX(D5, 2), DEC2HEX(E5, 2), DEC2HEX(F5, 2)))</f>
        <v>#fca5a5</v>
      </c>
      <c r="C5" s="36" t="str">
        <f>myRGB(D5,E5,F5)</f>
        <v/>
      </c>
      <c r="D5">
        <v>252</v>
      </c>
      <c r="E5">
        <v>165</v>
      </c>
      <c r="F5">
        <v>165</v>
      </c>
      <c r="G5">
        <f>GetHslFromRGB(D5,E5,F5, "H")</f>
        <v>0</v>
      </c>
      <c r="H5">
        <f>GetHslFromRGB(D5,E5,F5, "S")</f>
        <v>0.9354838709677421</v>
      </c>
      <c r="I5">
        <f>GetHslFromRGB(D5,E5,F5, "L")</f>
        <v>0.81764705882352939</v>
      </c>
    </row>
    <row r="6" spans="1:9" x14ac:dyDescent="0.4">
      <c r="A6" t="s">
        <v>40</v>
      </c>
      <c r="B6" t="str">
        <f>LOWER(CONCATENATE("#", DEC2HEX(D6, 2), DEC2HEX(E6, 2), DEC2HEX(F6, 2)))</f>
        <v>#f87171</v>
      </c>
      <c r="C6" s="37" t="str">
        <f>myRGB(D6,E6,F6)</f>
        <v/>
      </c>
      <c r="D6">
        <v>248</v>
      </c>
      <c r="E6">
        <v>113</v>
      </c>
      <c r="F6">
        <v>113</v>
      </c>
      <c r="G6">
        <f>GetHslFromRGB(D6,E6,F6, "H")</f>
        <v>0</v>
      </c>
      <c r="H6">
        <f>GetHslFromRGB(D6,E6,F6, "S")</f>
        <v>0.90604026845637575</v>
      </c>
      <c r="I6">
        <f>GetHslFromRGB(D6,E6,F6, "L")</f>
        <v>0.70784313725490189</v>
      </c>
    </row>
    <row r="7" spans="1:9" x14ac:dyDescent="0.4">
      <c r="A7" t="s">
        <v>41</v>
      </c>
      <c r="B7" t="str">
        <f>LOWER(CONCATENATE("#", DEC2HEX(D7, 2), DEC2HEX(E7, 2), DEC2HEX(F7, 2)))</f>
        <v>#ef4444</v>
      </c>
      <c r="C7" s="38" t="str">
        <f>myRGB(D7,E7,F7)</f>
        <v/>
      </c>
      <c r="D7">
        <v>239</v>
      </c>
      <c r="E7">
        <v>68</v>
      </c>
      <c r="F7">
        <v>68</v>
      </c>
      <c r="G7">
        <f>GetHslFromRGB(D7,E7,F7, "H")</f>
        <v>0</v>
      </c>
      <c r="H7">
        <f>GetHslFromRGB(D7,E7,F7, "S")</f>
        <v>0.8423645320197044</v>
      </c>
      <c r="I7">
        <f>GetHslFromRGB(D7,E7,F7, "L")</f>
        <v>0.60196078431372546</v>
      </c>
    </row>
    <row r="8" spans="1:9" x14ac:dyDescent="0.4">
      <c r="A8" t="s">
        <v>42</v>
      </c>
      <c r="B8" t="str">
        <f>LOWER(CONCATENATE("#", DEC2HEX(D8, 2), DEC2HEX(E8, 2), DEC2HEX(F8, 2)))</f>
        <v>#dc2626</v>
      </c>
      <c r="C8" s="40" t="str">
        <f>myRGB(D8,E8,F8)</f>
        <v/>
      </c>
      <c r="D8">
        <v>220</v>
      </c>
      <c r="E8">
        <v>38</v>
      </c>
      <c r="F8">
        <v>38</v>
      </c>
      <c r="G8">
        <f>GetHslFromRGB(D8,E8,F8, "H")</f>
        <v>0</v>
      </c>
      <c r="H8">
        <f>GetHslFromRGB(D8,E8,F8, "S")</f>
        <v>0.72222222222222232</v>
      </c>
      <c r="I8">
        <f>GetHslFromRGB(D8,E8,F8, "L")</f>
        <v>0.50588235294117645</v>
      </c>
    </row>
    <row r="9" spans="1:9" x14ac:dyDescent="0.4">
      <c r="A9" t="s">
        <v>43</v>
      </c>
      <c r="B9" t="str">
        <f>LOWER(CONCATENATE("#", DEC2HEX(D9, 2), DEC2HEX(E9, 2), DEC2HEX(F9, 2)))</f>
        <v>#b91c1c</v>
      </c>
      <c r="C9" s="39" t="str">
        <f>myRGB(D9,E9,F9)</f>
        <v/>
      </c>
      <c r="D9">
        <v>185</v>
      </c>
      <c r="E9">
        <v>28</v>
      </c>
      <c r="F9">
        <v>28</v>
      </c>
      <c r="G9">
        <f>GetHslFromRGB(D9,E9,F9, "H")</f>
        <v>0</v>
      </c>
      <c r="H9">
        <f>GetHslFromRGB(D9,E9,F9, "S")</f>
        <v>0.73708920187793425</v>
      </c>
      <c r="I9">
        <f>GetHslFromRGB(D9,E9,F9, "L")</f>
        <v>0.41764705882352937</v>
      </c>
    </row>
    <row r="10" spans="1:9" x14ac:dyDescent="0.4">
      <c r="A10" t="s">
        <v>44</v>
      </c>
      <c r="B10" t="str">
        <f>LOWER(CONCATENATE("#", DEC2HEX(D10, 2), DEC2HEX(E10, 2), DEC2HEX(F10, 2)))</f>
        <v>#991b1b</v>
      </c>
      <c r="C10" s="42" t="str">
        <f>myRGB(D10,E10,F10)</f>
        <v/>
      </c>
      <c r="D10">
        <v>153</v>
      </c>
      <c r="E10">
        <v>27</v>
      </c>
      <c r="F10">
        <v>27</v>
      </c>
      <c r="G10">
        <f>GetHslFromRGB(D10,E10,F10, "H")</f>
        <v>0</v>
      </c>
      <c r="H10">
        <f>GetHslFromRGB(D10,E10,F10, "S")</f>
        <v>0.7</v>
      </c>
      <c r="I10">
        <f>GetHslFromRGB(D10,E10,F10, "L")</f>
        <v>0.3529411764705882</v>
      </c>
    </row>
    <row r="11" spans="1:9" x14ac:dyDescent="0.4">
      <c r="A11" t="s">
        <v>45</v>
      </c>
      <c r="B11" t="str">
        <f>LOWER(CONCATENATE("#", DEC2HEX(D11, 2), DEC2HEX(E11, 2), DEC2HEX(F11, 2)))</f>
        <v>#7f1d1d</v>
      </c>
      <c r="C11" s="41" t="str">
        <f>myRGB(D11,E11,F11)</f>
        <v/>
      </c>
      <c r="D11">
        <v>127</v>
      </c>
      <c r="E11">
        <v>29</v>
      </c>
      <c r="F11">
        <v>29</v>
      </c>
      <c r="G11">
        <f>GetHslFromRGB(D11,E11,F11, "H")</f>
        <v>0</v>
      </c>
      <c r="H11">
        <f>GetHslFromRGB(D11,E11,F11, "S")</f>
        <v>0.62820512820512819</v>
      </c>
      <c r="I11">
        <f>GetHslFromRGB(D11,E11,F11, "L")</f>
        <v>0.30588235294117649</v>
      </c>
    </row>
    <row r="12" spans="1:9" x14ac:dyDescent="0.4">
      <c r="C12" s="2" t="str">
        <f t="shared" ref="C12:C22" si="0">myRGB(D12,E12,F12)</f>
        <v/>
      </c>
    </row>
    <row r="13" spans="1:9" x14ac:dyDescent="0.4">
      <c r="A13" t="s">
        <v>46</v>
      </c>
      <c r="B13" t="str">
        <f t="shared" ref="B13:B22" si="1">LOWER(CONCATENATE("#", DEC2HEX(D13, 2), DEC2HEX(E13, 2), DEC2HEX(F13, 2)))</f>
        <v>#fff1f2</v>
      </c>
      <c r="C13" s="52" t="str">
        <f t="shared" si="0"/>
        <v/>
      </c>
      <c r="D13">
        <v>255</v>
      </c>
      <c r="E13">
        <v>241</v>
      </c>
      <c r="F13">
        <v>242</v>
      </c>
      <c r="G13">
        <f t="shared" ref="G13:G22" si="2">GetHslFromRGB(D13,E13,F13, "H")</f>
        <v>355.71428571428572</v>
      </c>
      <c r="H13">
        <f t="shared" ref="H13:H22" si="3">GetHslFromRGB(D13,E13,F13, "S")</f>
        <v>1</v>
      </c>
      <c r="I13">
        <f t="shared" ref="I13:I22" si="4">GetHslFromRGB(D13,E13,F13, "L")</f>
        <v>0.97254901960784312</v>
      </c>
    </row>
    <row r="14" spans="1:9" x14ac:dyDescent="0.4">
      <c r="A14" t="s">
        <v>47</v>
      </c>
      <c r="B14" t="str">
        <f t="shared" si="1"/>
        <v>#ffe4e6</v>
      </c>
      <c r="C14" s="44" t="str">
        <f t="shared" si="0"/>
        <v/>
      </c>
      <c r="D14">
        <v>255</v>
      </c>
      <c r="E14">
        <v>228</v>
      </c>
      <c r="F14">
        <v>230</v>
      </c>
      <c r="G14">
        <f t="shared" si="2"/>
        <v>355.55555555555554</v>
      </c>
      <c r="H14">
        <f t="shared" si="3"/>
        <v>1</v>
      </c>
      <c r="I14">
        <f t="shared" si="4"/>
        <v>0.94705882352941173</v>
      </c>
    </row>
    <row r="15" spans="1:9" x14ac:dyDescent="0.4">
      <c r="A15" t="s">
        <v>48</v>
      </c>
      <c r="B15" t="str">
        <f t="shared" si="1"/>
        <v>#fecdd3</v>
      </c>
      <c r="C15" s="48" t="str">
        <f t="shared" si="0"/>
        <v/>
      </c>
      <c r="D15">
        <v>254</v>
      </c>
      <c r="E15">
        <v>205</v>
      </c>
      <c r="F15">
        <v>211</v>
      </c>
      <c r="G15">
        <f t="shared" si="2"/>
        <v>352.65306122448982</v>
      </c>
      <c r="H15">
        <f t="shared" si="3"/>
        <v>0.96078431372549034</v>
      </c>
      <c r="I15">
        <f t="shared" si="4"/>
        <v>0.9</v>
      </c>
    </row>
    <row r="16" spans="1:9" x14ac:dyDescent="0.4">
      <c r="A16" t="s">
        <v>49</v>
      </c>
      <c r="B16" t="str">
        <f t="shared" si="1"/>
        <v>#fda4af</v>
      </c>
      <c r="C16" s="49" t="str">
        <f t="shared" si="0"/>
        <v/>
      </c>
      <c r="D16">
        <v>253</v>
      </c>
      <c r="E16">
        <v>164</v>
      </c>
      <c r="F16">
        <v>175</v>
      </c>
      <c r="G16">
        <f t="shared" si="2"/>
        <v>352.58426966292137</v>
      </c>
      <c r="H16">
        <f t="shared" si="3"/>
        <v>0.95698924731182811</v>
      </c>
      <c r="I16">
        <f t="shared" si="4"/>
        <v>0.81764705882352939</v>
      </c>
    </row>
    <row r="17" spans="1:9" x14ac:dyDescent="0.4">
      <c r="A17" t="s">
        <v>50</v>
      </c>
      <c r="B17" t="str">
        <f t="shared" si="1"/>
        <v>#fb7185</v>
      </c>
      <c r="C17" s="45" t="str">
        <f t="shared" si="0"/>
        <v/>
      </c>
      <c r="D17">
        <v>251</v>
      </c>
      <c r="E17">
        <v>113</v>
      </c>
      <c r="F17">
        <v>133</v>
      </c>
      <c r="G17">
        <f t="shared" si="2"/>
        <v>351.30434782608694</v>
      </c>
      <c r="H17">
        <f t="shared" si="3"/>
        <v>0.94520547945205458</v>
      </c>
      <c r="I17">
        <f t="shared" si="4"/>
        <v>0.71372549019607834</v>
      </c>
    </row>
    <row r="18" spans="1:9" x14ac:dyDescent="0.4">
      <c r="A18" t="s">
        <v>51</v>
      </c>
      <c r="B18" t="str">
        <f t="shared" si="1"/>
        <v>#f43f5e</v>
      </c>
      <c r="C18" s="50" t="str">
        <f t="shared" si="0"/>
        <v/>
      </c>
      <c r="D18">
        <v>244</v>
      </c>
      <c r="E18">
        <v>63</v>
      </c>
      <c r="F18">
        <v>94</v>
      </c>
      <c r="G18">
        <f t="shared" si="2"/>
        <v>349.72375690607737</v>
      </c>
      <c r="H18">
        <f t="shared" si="3"/>
        <v>0.89162561576354693</v>
      </c>
      <c r="I18">
        <f t="shared" si="4"/>
        <v>0.60196078431372557</v>
      </c>
    </row>
    <row r="19" spans="1:9" x14ac:dyDescent="0.4">
      <c r="A19" t="s">
        <v>52</v>
      </c>
      <c r="B19" t="str">
        <f t="shared" si="1"/>
        <v>#e11d48</v>
      </c>
      <c r="C19" s="53" t="str">
        <f t="shared" si="0"/>
        <v/>
      </c>
      <c r="D19">
        <v>225</v>
      </c>
      <c r="E19">
        <v>29</v>
      </c>
      <c r="F19">
        <v>72</v>
      </c>
      <c r="G19">
        <f t="shared" si="2"/>
        <v>346.83673469387753</v>
      </c>
      <c r="H19">
        <f t="shared" si="3"/>
        <v>0.77165354330708658</v>
      </c>
      <c r="I19">
        <f t="shared" si="4"/>
        <v>0.49803921568627452</v>
      </c>
    </row>
    <row r="20" spans="1:9" x14ac:dyDescent="0.4">
      <c r="A20" t="s">
        <v>53</v>
      </c>
      <c r="B20" t="str">
        <f t="shared" si="1"/>
        <v>#be123c</v>
      </c>
      <c r="C20" s="46" t="str">
        <f t="shared" si="0"/>
        <v/>
      </c>
      <c r="D20">
        <v>190</v>
      </c>
      <c r="E20">
        <v>18</v>
      </c>
      <c r="F20">
        <v>60</v>
      </c>
      <c r="G20">
        <f t="shared" si="2"/>
        <v>345.3488372093023</v>
      </c>
      <c r="H20">
        <f t="shared" si="3"/>
        <v>0.82692307692307698</v>
      </c>
      <c r="I20">
        <f t="shared" si="4"/>
        <v>0.40784313725490196</v>
      </c>
    </row>
    <row r="21" spans="1:9" x14ac:dyDescent="0.4">
      <c r="A21" t="s">
        <v>54</v>
      </c>
      <c r="B21" t="str">
        <f t="shared" si="1"/>
        <v>#9f1239</v>
      </c>
      <c r="C21" s="51" t="str">
        <f t="shared" si="0"/>
        <v/>
      </c>
      <c r="D21">
        <v>159</v>
      </c>
      <c r="E21">
        <v>18</v>
      </c>
      <c r="F21">
        <v>57</v>
      </c>
      <c r="G21">
        <f t="shared" si="2"/>
        <v>343.40425531914894</v>
      </c>
      <c r="H21">
        <f t="shared" si="3"/>
        <v>0.79661016949152541</v>
      </c>
      <c r="I21">
        <f t="shared" si="4"/>
        <v>0.34705882352941175</v>
      </c>
    </row>
    <row r="22" spans="1:9" x14ac:dyDescent="0.4">
      <c r="A22" t="s">
        <v>55</v>
      </c>
      <c r="B22" t="str">
        <f t="shared" si="1"/>
        <v>#881337</v>
      </c>
      <c r="C22" s="47" t="str">
        <f t="shared" si="0"/>
        <v/>
      </c>
      <c r="D22">
        <v>136</v>
      </c>
      <c r="E22">
        <v>19</v>
      </c>
      <c r="F22">
        <v>55</v>
      </c>
      <c r="G22">
        <f t="shared" si="2"/>
        <v>341.53846153846155</v>
      </c>
      <c r="H22">
        <f t="shared" si="3"/>
        <v>0.75483870967741939</v>
      </c>
      <c r="I22">
        <f t="shared" si="4"/>
        <v>0.30392156862745096</v>
      </c>
    </row>
    <row r="23" spans="1:9" x14ac:dyDescent="0.4">
      <c r="C23" s="43"/>
    </row>
    <row r="24" spans="1:9" x14ac:dyDescent="0.4">
      <c r="A24" t="s">
        <v>66</v>
      </c>
      <c r="C24" s="43"/>
      <c r="G24">
        <v>0.5</v>
      </c>
    </row>
    <row r="25" spans="1:9" x14ac:dyDescent="0.4">
      <c r="C25" s="43"/>
    </row>
    <row r="26" spans="1:9" x14ac:dyDescent="0.4">
      <c r="A26" t="s">
        <v>56</v>
      </c>
      <c r="B26" t="str">
        <f t="shared" ref="B26:B35" si="5">LOWER(CONCATENATE("#", DEC2HEX(D26, 2), DEC2HEX(E26, 2), DEC2HEX(F26, 2)))</f>
        <v>#fef2f2</v>
      </c>
      <c r="C26" s="33" t="str">
        <f t="shared" ref="C26:C35" si="6">myRGB(D26,E26,F26)</f>
        <v/>
      </c>
      <c r="D26">
        <f t="shared" ref="D26:D31" si="7">GetRGBFromHSL(G26,H26,I26,"R")</f>
        <v>254</v>
      </c>
      <c r="E26">
        <f t="shared" ref="E26:E31" si="8">GetRGBFromHSL(G26,H26,I26,"G")</f>
        <v>242</v>
      </c>
      <c r="F26">
        <f t="shared" ref="F26:F31" si="9">GetRGBFromHSL(G26,H26,I26,"B")</f>
        <v>242</v>
      </c>
      <c r="G26">
        <f>360*$G$24+G13*(1-$G$24)</f>
        <v>357.85714285714289</v>
      </c>
      <c r="H26">
        <f>H2*$G$24+H13*(1-$G$24)</f>
        <v>0.92857142857142883</v>
      </c>
      <c r="I26">
        <f>I2*$G$24+I13*(1-$G$24)</f>
        <v>0.97254901960784312</v>
      </c>
    </row>
    <row r="27" spans="1:9" x14ac:dyDescent="0.4">
      <c r="A27" t="s">
        <v>57</v>
      </c>
      <c r="B27" t="str">
        <f t="shared" si="5"/>
        <v>#ffe3e4</v>
      </c>
      <c r="C27" s="62" t="str">
        <f t="shared" si="6"/>
        <v/>
      </c>
      <c r="D27">
        <f t="shared" si="7"/>
        <v>255</v>
      </c>
      <c r="E27">
        <f t="shared" si="8"/>
        <v>227</v>
      </c>
      <c r="F27">
        <f t="shared" si="9"/>
        <v>228</v>
      </c>
      <c r="G27">
        <f t="shared" ref="G27:G35" si="10">360*$G$24+G14*(1-$G$24)</f>
        <v>357.77777777777777</v>
      </c>
      <c r="H27">
        <f t="shared" ref="H27:I35" si="11">H3*$G$24+H14*(1-$G$24)</f>
        <v>0.96666666666666679</v>
      </c>
      <c r="I27">
        <f t="shared" si="11"/>
        <v>0.94411764705882351</v>
      </c>
    </row>
    <row r="28" spans="1:9" x14ac:dyDescent="0.4">
      <c r="A28" t="s">
        <v>58</v>
      </c>
      <c r="B28" t="str">
        <f t="shared" si="5"/>
        <v>#feccce</v>
      </c>
      <c r="C28" s="54" t="str">
        <f t="shared" si="6"/>
        <v/>
      </c>
      <c r="D28">
        <f t="shared" si="7"/>
        <v>254</v>
      </c>
      <c r="E28">
        <f t="shared" si="8"/>
        <v>204</v>
      </c>
      <c r="F28">
        <f t="shared" si="9"/>
        <v>206</v>
      </c>
      <c r="G28">
        <f t="shared" si="10"/>
        <v>356.32653061224494</v>
      </c>
      <c r="H28">
        <f t="shared" si="11"/>
        <v>0.96187363834422679</v>
      </c>
      <c r="I28">
        <f t="shared" si="11"/>
        <v>0.89705882352941169</v>
      </c>
    </row>
    <row r="29" spans="1:9" x14ac:dyDescent="0.4">
      <c r="A29" t="s">
        <v>59</v>
      </c>
      <c r="B29" t="str">
        <f t="shared" si="5"/>
        <v>#fca4a9</v>
      </c>
      <c r="C29" s="55" t="str">
        <f t="shared" si="6"/>
        <v/>
      </c>
      <c r="D29">
        <f t="shared" si="7"/>
        <v>252</v>
      </c>
      <c r="E29">
        <f t="shared" si="8"/>
        <v>164</v>
      </c>
      <c r="F29">
        <f t="shared" si="9"/>
        <v>169</v>
      </c>
      <c r="G29">
        <f t="shared" si="10"/>
        <v>356.29213483146066</v>
      </c>
      <c r="H29">
        <f t="shared" si="11"/>
        <v>0.94623655913978511</v>
      </c>
      <c r="I29">
        <f t="shared" si="11"/>
        <v>0.81764705882352939</v>
      </c>
    </row>
    <row r="30" spans="1:9" x14ac:dyDescent="0.4">
      <c r="A30" t="s">
        <v>60</v>
      </c>
      <c r="B30" t="str">
        <f t="shared" si="5"/>
        <v>#fa717a</v>
      </c>
      <c r="C30" s="60" t="str">
        <f t="shared" si="6"/>
        <v/>
      </c>
      <c r="D30">
        <f t="shared" si="7"/>
        <v>250</v>
      </c>
      <c r="E30">
        <f t="shared" si="8"/>
        <v>113</v>
      </c>
      <c r="F30">
        <f t="shared" si="9"/>
        <v>122</v>
      </c>
      <c r="G30">
        <f t="shared" si="10"/>
        <v>355.6521739130435</v>
      </c>
      <c r="H30">
        <f t="shared" si="11"/>
        <v>0.92562287395421516</v>
      </c>
      <c r="I30">
        <f t="shared" si="11"/>
        <v>0.71078431372549011</v>
      </c>
    </row>
    <row r="31" spans="1:9" x14ac:dyDescent="0.4">
      <c r="A31" t="s">
        <v>61</v>
      </c>
      <c r="B31" t="str">
        <f t="shared" si="5"/>
        <v>#f24250</v>
      </c>
      <c r="C31" s="59" t="str">
        <f t="shared" si="6"/>
        <v/>
      </c>
      <c r="D31">
        <f t="shared" si="7"/>
        <v>242</v>
      </c>
      <c r="E31">
        <f t="shared" si="8"/>
        <v>66</v>
      </c>
      <c r="F31">
        <f t="shared" si="9"/>
        <v>80</v>
      </c>
      <c r="G31">
        <f t="shared" si="10"/>
        <v>354.86187845303868</v>
      </c>
      <c r="H31">
        <f t="shared" si="11"/>
        <v>0.86699507389162567</v>
      </c>
      <c r="I31">
        <f t="shared" si="11"/>
        <v>0.60196078431372557</v>
      </c>
    </row>
    <row r="32" spans="1:9" x14ac:dyDescent="0.4">
      <c r="A32" t="s">
        <v>62</v>
      </c>
      <c r="B32" t="str">
        <f t="shared" si="5"/>
        <v>#df2135</v>
      </c>
      <c r="C32" s="56" t="str">
        <f t="shared" si="6"/>
        <v/>
      </c>
      <c r="D32">
        <f>GetRGBFromHSL(G32,H32,I32,"R")</f>
        <v>223</v>
      </c>
      <c r="E32">
        <f>GetRGBFromHSL(G32,H32,I32,"G")</f>
        <v>33</v>
      </c>
      <c r="F32">
        <f>GetRGBFromHSL(G32,H32,I32,"B")</f>
        <v>53</v>
      </c>
      <c r="G32">
        <f t="shared" si="10"/>
        <v>353.41836734693879</v>
      </c>
      <c r="H32">
        <f t="shared" si="11"/>
        <v>0.74693788276465445</v>
      </c>
      <c r="I32">
        <f t="shared" si="11"/>
        <v>0.50196078431372548</v>
      </c>
    </row>
    <row r="33" spans="1:16" x14ac:dyDescent="0.4">
      <c r="A33" t="s">
        <v>63</v>
      </c>
      <c r="B33" t="str">
        <f t="shared" si="5"/>
        <v>#bc172a</v>
      </c>
      <c r="C33" s="61" t="str">
        <f t="shared" si="6"/>
        <v/>
      </c>
      <c r="D33">
        <f t="shared" ref="D33:D35" si="12">GetRGBFromHSL(G33,H33,I33,"R")</f>
        <v>188</v>
      </c>
      <c r="E33">
        <f t="shared" ref="E33:E35" si="13">GetRGBFromHSL(G33,H33,I33,"G")</f>
        <v>23</v>
      </c>
      <c r="F33">
        <f t="shared" ref="F33:F35" si="14">GetRGBFromHSL(G33,H33,I33,"B")</f>
        <v>42</v>
      </c>
      <c r="G33">
        <f t="shared" si="10"/>
        <v>352.67441860465112</v>
      </c>
      <c r="H33">
        <f t="shared" si="11"/>
        <v>0.78200613940050556</v>
      </c>
      <c r="I33">
        <f t="shared" si="11"/>
        <v>0.41274509803921566</v>
      </c>
    </row>
    <row r="34" spans="1:16" x14ac:dyDescent="0.4">
      <c r="A34" t="s">
        <v>64</v>
      </c>
      <c r="B34" t="str">
        <f t="shared" si="5"/>
        <v>#9c1628</v>
      </c>
      <c r="C34" s="57" t="str">
        <f t="shared" si="6"/>
        <v/>
      </c>
      <c r="D34">
        <f t="shared" si="12"/>
        <v>156</v>
      </c>
      <c r="E34">
        <f t="shared" si="13"/>
        <v>22</v>
      </c>
      <c r="F34">
        <f t="shared" si="14"/>
        <v>40</v>
      </c>
      <c r="G34">
        <f t="shared" si="10"/>
        <v>351.70212765957444</v>
      </c>
      <c r="H34">
        <f t="shared" si="11"/>
        <v>0.74830508474576263</v>
      </c>
      <c r="I34">
        <f t="shared" si="11"/>
        <v>0.35</v>
      </c>
    </row>
    <row r="35" spans="1:16" x14ac:dyDescent="0.4">
      <c r="A35" t="s">
        <v>65</v>
      </c>
      <c r="B35" t="str">
        <f t="shared" si="5"/>
        <v>#841828</v>
      </c>
      <c r="C35" s="58" t="str">
        <f t="shared" si="6"/>
        <v/>
      </c>
      <c r="D35">
        <f t="shared" si="12"/>
        <v>132</v>
      </c>
      <c r="E35">
        <f t="shared" si="13"/>
        <v>24</v>
      </c>
      <c r="F35">
        <f t="shared" si="14"/>
        <v>40</v>
      </c>
      <c r="G35">
        <f t="shared" si="10"/>
        <v>350.76923076923077</v>
      </c>
      <c r="H35">
        <f t="shared" si="11"/>
        <v>0.69152191894127379</v>
      </c>
      <c r="I35">
        <f t="shared" si="11"/>
        <v>0.30490196078431375</v>
      </c>
    </row>
    <row r="36" spans="1:16" x14ac:dyDescent="0.4">
      <c r="C36" s="43"/>
    </row>
    <row r="38" spans="1:16" x14ac:dyDescent="0.4">
      <c r="L38" s="33" t="str">
        <f>myRGB(D2,E2,F2)</f>
        <v/>
      </c>
      <c r="M38" s="52" t="str">
        <f>myRGB(D13,E13,F13)</f>
        <v/>
      </c>
      <c r="N38" s="33" t="str">
        <f>myRGB(D26,E26,F26)</f>
        <v/>
      </c>
    </row>
    <row r="39" spans="1:16" x14ac:dyDescent="0.4">
      <c r="L39" s="34" t="str">
        <f>myRGB(D3,E3,F3)</f>
        <v/>
      </c>
      <c r="M39" s="44" t="str">
        <f>myRGB(D14,E14,F14)</f>
        <v/>
      </c>
      <c r="N39" s="62" t="str">
        <f t="shared" ref="N39:N47" si="15">myRGB(D27,E27,F27)</f>
        <v/>
      </c>
    </row>
    <row r="40" spans="1:16" x14ac:dyDescent="0.4">
      <c r="L40" s="35" t="str">
        <f>myRGB(D4,E4,F4)</f>
        <v/>
      </c>
      <c r="M40" s="48" t="str">
        <f>myRGB(D15,E15,F15)</f>
        <v/>
      </c>
      <c r="N40" s="54" t="str">
        <f t="shared" si="15"/>
        <v/>
      </c>
    </row>
    <row r="41" spans="1:16" x14ac:dyDescent="0.4">
      <c r="L41" s="36" t="str">
        <f>myRGB(D5,E5,F5)</f>
        <v/>
      </c>
      <c r="M41" s="49" t="str">
        <f>myRGB(D16,E16,F16)</f>
        <v/>
      </c>
      <c r="N41" s="55" t="str">
        <f t="shared" si="15"/>
        <v/>
      </c>
    </row>
    <row r="42" spans="1:16" x14ac:dyDescent="0.4">
      <c r="L42" s="37" t="str">
        <f>myRGB(D6,E6,F6)</f>
        <v/>
      </c>
      <c r="M42" s="45" t="str">
        <f>myRGB(D17,E17,F17)</f>
        <v/>
      </c>
      <c r="N42" s="60" t="str">
        <f t="shared" si="15"/>
        <v/>
      </c>
    </row>
    <row r="43" spans="1:16" x14ac:dyDescent="0.4">
      <c r="L43" s="38" t="str">
        <f>myRGB(D7,E7,F7)</f>
        <v/>
      </c>
      <c r="M43" s="50" t="str">
        <f>myRGB(D18,E18,F18)</f>
        <v/>
      </c>
      <c r="N43" s="59" t="str">
        <f t="shared" si="15"/>
        <v/>
      </c>
    </row>
    <row r="44" spans="1:16" x14ac:dyDescent="0.4">
      <c r="J44" s="31" t="str">
        <f>myRGB(255,45,85)</f>
        <v/>
      </c>
      <c r="L44" s="40" t="str">
        <f>myRGB(D8,E8,F8)</f>
        <v/>
      </c>
      <c r="M44" s="53" t="str">
        <f>myRGB(D19,E19,F19)</f>
        <v/>
      </c>
      <c r="N44" s="56" t="str">
        <f t="shared" si="15"/>
        <v/>
      </c>
      <c r="P44" s="31" t="str">
        <f>myRGB(255,45,85)</f>
        <v/>
      </c>
    </row>
    <row r="45" spans="1:16" x14ac:dyDescent="0.4">
      <c r="J45" s="32" t="str">
        <f>myRGB(254,128,32)</f>
        <v/>
      </c>
      <c r="L45" s="39" t="str">
        <f>myRGB(D9,E9,F9)</f>
        <v/>
      </c>
      <c r="M45" s="46" t="str">
        <f>myRGB(D20,E20,F20)</f>
        <v/>
      </c>
      <c r="N45" s="61" t="str">
        <f t="shared" si="15"/>
        <v/>
      </c>
      <c r="P45" s="32" t="str">
        <f>myRGB(254,128,32)</f>
        <v/>
      </c>
    </row>
    <row r="46" spans="1:16" x14ac:dyDescent="0.4">
      <c r="L46" s="42" t="str">
        <f>myRGB(D10,E10,F10)</f>
        <v/>
      </c>
      <c r="M46" s="51" t="str">
        <f>myRGB(D21,E21,F21)</f>
        <v/>
      </c>
      <c r="N46" s="57" t="str">
        <f t="shared" si="15"/>
        <v/>
      </c>
    </row>
    <row r="47" spans="1:16" x14ac:dyDescent="0.4">
      <c r="L47" s="41" t="str">
        <f>myRGB(D11,E11,F11)</f>
        <v/>
      </c>
      <c r="M47" s="47" t="str">
        <f>myRGB(D22,E22,F22)</f>
        <v/>
      </c>
      <c r="N47" s="58" t="str">
        <f t="shared" si="15"/>
        <v/>
      </c>
    </row>
    <row r="48" spans="1:16" x14ac:dyDescent="0.4">
      <c r="L48" s="43"/>
    </row>
    <row r="49" spans="12:12" x14ac:dyDescent="0.4">
      <c r="L49" s="43"/>
    </row>
    <row r="50" spans="12:12" x14ac:dyDescent="0.4">
      <c r="L50" s="43"/>
    </row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Primary</vt:lpstr>
      <vt:lpstr>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 Demianenko</dc:creator>
  <cp:lastModifiedBy>Ilia Demianenko</cp:lastModifiedBy>
  <dcterms:created xsi:type="dcterms:W3CDTF">2023-02-21T23:01:21Z</dcterms:created>
  <dcterms:modified xsi:type="dcterms:W3CDTF">2023-02-25T00:15:18Z</dcterms:modified>
</cp:coreProperties>
</file>